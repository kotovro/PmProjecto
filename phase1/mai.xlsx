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otvo\Downloads\"/>
    </mc:Choice>
  </mc:AlternateContent>
  <xr:revisionPtr revIDLastSave="0" documentId="13_ncr:1_{13CC93FD-D01B-4C1E-92A4-30DCB4B08DF3}" xr6:coauthVersionLast="47" xr6:coauthVersionMax="47" xr10:uidLastSave="{00000000-0000-0000-0000-000000000000}"/>
  <bookViews>
    <workbookView xWindow="0" yWindow="3900" windowWidth="38400" windowHeight="17700" tabRatio="500" xr2:uid="{00000000-000D-0000-FFFF-FFFF00000000}"/>
  </bookViews>
  <sheets>
    <sheet name="МАИ" sheetId="1" r:id="rId1"/>
    <sheet name="Концепции и критерии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89" i="1" l="1"/>
  <c r="F112" i="1"/>
  <c r="E111" i="1"/>
  <c r="D111" i="1"/>
  <c r="B111" i="1"/>
  <c r="E110" i="1"/>
  <c r="D110" i="1"/>
  <c r="C109" i="1"/>
  <c r="B109" i="1"/>
  <c r="D108" i="1"/>
  <c r="B108" i="1"/>
  <c r="S103" i="1"/>
  <c r="R103" i="1"/>
  <c r="T101" i="1" s="1"/>
  <c r="Q103" i="1"/>
  <c r="P103" i="1"/>
  <c r="T99" i="1" s="1"/>
  <c r="L103" i="1"/>
  <c r="K103" i="1"/>
  <c r="M101" i="1" s="1"/>
  <c r="J103" i="1"/>
  <c r="I103" i="1"/>
  <c r="E103" i="1"/>
  <c r="E112" i="1" s="1"/>
  <c r="D103" i="1"/>
  <c r="C103" i="1"/>
  <c r="C112" i="1" s="1"/>
  <c r="B103" i="1"/>
  <c r="T102" i="1"/>
  <c r="F111" i="1" s="1"/>
  <c r="R102" i="1"/>
  <c r="P102" i="1"/>
  <c r="M102" i="1"/>
  <c r="K102" i="1"/>
  <c r="I102" i="1"/>
  <c r="F102" i="1"/>
  <c r="D102" i="1"/>
  <c r="B102" i="1"/>
  <c r="E99" i="1" s="1"/>
  <c r="E108" i="1" s="1"/>
  <c r="S101" i="1"/>
  <c r="L101" i="1"/>
  <c r="E101" i="1"/>
  <c r="B101" i="1"/>
  <c r="T100" i="1"/>
  <c r="S100" i="1"/>
  <c r="Q102" i="1" s="1"/>
  <c r="R100" i="1"/>
  <c r="Q101" i="1" s="1"/>
  <c r="P100" i="1"/>
  <c r="M100" i="1"/>
  <c r="L100" i="1"/>
  <c r="J102" i="1" s="1"/>
  <c r="K100" i="1"/>
  <c r="J101" i="1" s="1"/>
  <c r="I100" i="1"/>
  <c r="F100" i="1"/>
  <c r="F109" i="1" s="1"/>
  <c r="E100" i="1"/>
  <c r="D100" i="1"/>
  <c r="B100" i="1"/>
  <c r="C99" i="1" s="1"/>
  <c r="C108" i="1" s="1"/>
  <c r="S99" i="1"/>
  <c r="R99" i="1"/>
  <c r="P101" i="1" s="1"/>
  <c r="Q99" i="1"/>
  <c r="M99" i="1"/>
  <c r="L99" i="1"/>
  <c r="K99" i="1"/>
  <c r="I101" i="1" s="1"/>
  <c r="B110" i="1" s="1"/>
  <c r="J99" i="1"/>
  <c r="D99" i="1"/>
  <c r="F93" i="1"/>
  <c r="B93" i="1"/>
  <c r="E92" i="1"/>
  <c r="B92" i="1"/>
  <c r="F91" i="1"/>
  <c r="D91" i="1"/>
  <c r="C91" i="1"/>
  <c r="B91" i="1"/>
  <c r="F90" i="1"/>
  <c r="E90" i="1"/>
  <c r="D90" i="1"/>
  <c r="C90" i="1"/>
  <c r="B90" i="1"/>
  <c r="F89" i="1"/>
  <c r="E89" i="1"/>
  <c r="D89" i="1"/>
  <c r="C89" i="1"/>
  <c r="B89" i="1"/>
  <c r="S84" i="1"/>
  <c r="E93" i="1" s="1"/>
  <c r="D84" i="1"/>
  <c r="D93" i="1" s="1"/>
  <c r="C84" i="1"/>
  <c r="C93" i="1" s="1"/>
  <c r="F83" i="1"/>
  <c r="F92" i="1" s="1"/>
  <c r="D83" i="1"/>
  <c r="D92" i="1" s="1"/>
  <c r="C83" i="1"/>
  <c r="C92" i="1" s="1"/>
  <c r="S82" i="1"/>
  <c r="E91" i="1" s="1"/>
  <c r="T81" i="1"/>
  <c r="S81" i="1"/>
  <c r="R81" i="1"/>
  <c r="M81" i="1"/>
  <c r="L81" i="1"/>
  <c r="K81" i="1"/>
  <c r="T80" i="1"/>
  <c r="S80" i="1"/>
  <c r="R80" i="1"/>
  <c r="M80" i="1"/>
  <c r="L80" i="1"/>
  <c r="K80" i="1"/>
  <c r="J80" i="1"/>
  <c r="F80" i="1"/>
  <c r="E80" i="1"/>
  <c r="D80" i="1"/>
  <c r="C80" i="1"/>
  <c r="F74" i="1"/>
  <c r="E74" i="1"/>
  <c r="D74" i="1"/>
  <c r="C74" i="1"/>
  <c r="B74" i="1"/>
  <c r="F73" i="1"/>
  <c r="E73" i="1"/>
  <c r="F72" i="1"/>
  <c r="E72" i="1"/>
  <c r="D72" i="1"/>
  <c r="C72" i="1"/>
  <c r="B72" i="1"/>
  <c r="F71" i="1"/>
  <c r="E71" i="1"/>
  <c r="D71" i="1"/>
  <c r="C71" i="1"/>
  <c r="B71" i="1"/>
  <c r="B70" i="1"/>
  <c r="R65" i="1"/>
  <c r="Q65" i="1"/>
  <c r="P65" i="1"/>
  <c r="L65" i="1"/>
  <c r="C65" i="1"/>
  <c r="T64" i="1"/>
  <c r="R64" i="1"/>
  <c r="D73" i="1" s="1"/>
  <c r="Q64" i="1"/>
  <c r="P64" i="1"/>
  <c r="B73" i="1" s="1"/>
  <c r="F64" i="1"/>
  <c r="C64" i="1"/>
  <c r="C73" i="1" s="1"/>
  <c r="M63" i="1"/>
  <c r="L63" i="1"/>
  <c r="I63" i="1"/>
  <c r="F63" i="1"/>
  <c r="E63" i="1"/>
  <c r="C63" i="1"/>
  <c r="B63" i="1"/>
  <c r="R62" i="1"/>
  <c r="M62" i="1"/>
  <c r="L62" i="1"/>
  <c r="R61" i="1"/>
  <c r="D70" i="1" s="1"/>
  <c r="Q61" i="1"/>
  <c r="M61" i="1"/>
  <c r="L61" i="1"/>
  <c r="J61" i="1"/>
  <c r="F61" i="1"/>
  <c r="F70" i="1" s="1"/>
  <c r="E61" i="1"/>
  <c r="E70" i="1" s="1"/>
  <c r="C61" i="1"/>
  <c r="C70" i="1" s="1"/>
  <c r="E56" i="1"/>
  <c r="R55" i="1"/>
  <c r="F55" i="1"/>
  <c r="E55" i="1"/>
  <c r="E54" i="1"/>
  <c r="R54" i="1" s="1"/>
  <c r="E53" i="1"/>
  <c r="R53" i="1" s="1"/>
  <c r="D53" i="1"/>
  <c r="B53" i="1"/>
  <c r="E52" i="1"/>
  <c r="R52" i="1" s="1"/>
  <c r="C52" i="1"/>
  <c r="B52" i="1"/>
  <c r="F51" i="1"/>
  <c r="E51" i="1"/>
  <c r="R51" i="1" s="1"/>
  <c r="D51" i="1"/>
  <c r="C51" i="1"/>
  <c r="B51" i="1"/>
  <c r="R46" i="1"/>
  <c r="D55" i="1" s="1"/>
  <c r="Q46" i="1"/>
  <c r="C55" i="1" s="1"/>
  <c r="P46" i="1"/>
  <c r="B55" i="1" s="1"/>
  <c r="T45" i="1"/>
  <c r="R45" i="1"/>
  <c r="Q45" i="1"/>
  <c r="P45" i="1"/>
  <c r="M45" i="1"/>
  <c r="K45" i="1"/>
  <c r="J45" i="1"/>
  <c r="I45" i="1"/>
  <c r="F45" i="1"/>
  <c r="F54" i="1" s="1"/>
  <c r="D45" i="1"/>
  <c r="D54" i="1" s="1"/>
  <c r="C45" i="1"/>
  <c r="C54" i="1" s="1"/>
  <c r="B45" i="1"/>
  <c r="B54" i="1" s="1"/>
  <c r="M44" i="1"/>
  <c r="F44" i="1"/>
  <c r="F53" i="1" s="1"/>
  <c r="C44" i="1"/>
  <c r="C53" i="1" s="1"/>
  <c r="R43" i="1"/>
  <c r="D52" i="1" s="1"/>
  <c r="M43" i="1"/>
  <c r="F52" i="1" s="1"/>
  <c r="K43" i="1"/>
  <c r="F43" i="1"/>
  <c r="R42" i="1"/>
  <c r="M42" i="1"/>
  <c r="K42" i="1"/>
  <c r="J42" i="1"/>
  <c r="F42" i="1"/>
  <c r="D42" i="1"/>
  <c r="C42" i="1"/>
  <c r="F36" i="1"/>
  <c r="E36" i="1"/>
  <c r="C36" i="1"/>
  <c r="B36" i="1"/>
  <c r="E35" i="1"/>
  <c r="D35" i="1"/>
  <c r="C35" i="1"/>
  <c r="B35" i="1"/>
  <c r="E34" i="1"/>
  <c r="D34" i="1"/>
  <c r="C34" i="1"/>
  <c r="B34" i="1"/>
  <c r="F33" i="1"/>
  <c r="E33" i="1"/>
  <c r="D33" i="1"/>
  <c r="C33" i="1"/>
  <c r="B33" i="1"/>
  <c r="F32" i="1"/>
  <c r="E32" i="1"/>
  <c r="D32" i="1"/>
  <c r="C32" i="1"/>
  <c r="B32" i="1"/>
  <c r="D27" i="1"/>
  <c r="D36" i="1" s="1"/>
  <c r="T26" i="1"/>
  <c r="F35" i="1" s="1"/>
  <c r="R26" i="1"/>
  <c r="Q26" i="1"/>
  <c r="P26" i="1"/>
  <c r="M26" i="1"/>
  <c r="K26" i="1"/>
  <c r="F26" i="1"/>
  <c r="D26" i="1"/>
  <c r="C26" i="1"/>
  <c r="T25" i="1"/>
  <c r="M25" i="1"/>
  <c r="F34" i="1" s="1"/>
  <c r="T24" i="1"/>
  <c r="R24" i="1"/>
  <c r="M24" i="1"/>
  <c r="L24" i="1"/>
  <c r="K24" i="1"/>
  <c r="I24" i="1"/>
  <c r="F24" i="1"/>
  <c r="D24" i="1"/>
  <c r="T23" i="1"/>
  <c r="R23" i="1"/>
  <c r="Q23" i="1"/>
  <c r="M23" i="1"/>
  <c r="L23" i="1"/>
  <c r="K23" i="1"/>
  <c r="F23" i="1"/>
  <c r="E23" i="1"/>
  <c r="D23" i="1"/>
  <c r="C23" i="1"/>
  <c r="F17" i="1"/>
  <c r="E17" i="1"/>
  <c r="D17" i="1"/>
  <c r="E16" i="1"/>
  <c r="D15" i="1"/>
  <c r="C14" i="1"/>
  <c r="B13" i="1"/>
  <c r="Q8" i="1"/>
  <c r="L8" i="1"/>
  <c r="K8" i="1"/>
  <c r="J8" i="1"/>
  <c r="I8" i="1"/>
  <c r="E8" i="1"/>
  <c r="D8" i="1"/>
  <c r="C8" i="1"/>
  <c r="C17" i="1" s="1"/>
  <c r="B8" i="1"/>
  <c r="B17" i="1" s="1"/>
  <c r="T7" i="1"/>
  <c r="F16" i="1" s="1"/>
  <c r="R7" i="1"/>
  <c r="D16" i="1" s="1"/>
  <c r="Q7" i="1"/>
  <c r="J7" i="1"/>
  <c r="I7" i="1"/>
  <c r="C7" i="1"/>
  <c r="C16" i="1" s="1"/>
  <c r="B7" i="1"/>
  <c r="B16" i="1" s="1"/>
  <c r="T6" i="1"/>
  <c r="F15" i="1" s="1"/>
  <c r="Q6" i="1"/>
  <c r="L6" i="1"/>
  <c r="J6" i="1"/>
  <c r="I6" i="1"/>
  <c r="E6" i="1"/>
  <c r="E15" i="1" s="1"/>
  <c r="C6" i="1"/>
  <c r="C15" i="1" s="1"/>
  <c r="B6" i="1"/>
  <c r="B15" i="1" s="1"/>
  <c r="I5" i="1"/>
  <c r="F5" i="1"/>
  <c r="F14" i="1" s="1"/>
  <c r="E5" i="1"/>
  <c r="E14" i="1" s="1"/>
  <c r="D5" i="1"/>
  <c r="D14" i="1" s="1"/>
  <c r="T4" i="1"/>
  <c r="S4" i="1"/>
  <c r="R4" i="1"/>
  <c r="Q4" i="1"/>
  <c r="F4" i="1"/>
  <c r="F13" i="1" s="1"/>
  <c r="E4" i="1"/>
  <c r="E13" i="1" s="1"/>
  <c r="D4" i="1"/>
  <c r="D13" i="1" s="1"/>
  <c r="C4" i="1"/>
  <c r="D112" i="1" l="1"/>
  <c r="F101" i="1"/>
  <c r="F110" i="1" s="1"/>
  <c r="B112" i="1"/>
  <c r="B113" i="1" s="1"/>
  <c r="F99" i="1"/>
  <c r="F108" i="1" s="1"/>
  <c r="I108" i="1" s="1" a="1"/>
  <c r="E109" i="1"/>
  <c r="E113" i="1" s="1"/>
  <c r="C102" i="1"/>
  <c r="C111" i="1" s="1"/>
  <c r="D109" i="1"/>
  <c r="C101" i="1"/>
  <c r="C110" i="1" s="1"/>
  <c r="C113" i="1"/>
  <c r="P108" i="1"/>
  <c r="F94" i="1"/>
  <c r="S89" i="1" s="1"/>
  <c r="E94" i="1"/>
  <c r="R89" i="1"/>
  <c r="D94" i="1"/>
  <c r="Q89" i="1"/>
  <c r="C94" i="1"/>
  <c r="P89" i="1" s="1"/>
  <c r="B94" i="1"/>
  <c r="I89" i="1" a="1"/>
  <c r="B75" i="1"/>
  <c r="O73" i="1"/>
  <c r="D75" i="1"/>
  <c r="Q70" i="1" s="1"/>
  <c r="F75" i="1"/>
  <c r="S70" i="1" s="1"/>
  <c r="E75" i="1"/>
  <c r="R70" i="1" s="1"/>
  <c r="I70" i="1" a="1"/>
  <c r="C75" i="1"/>
  <c r="P70" i="1" s="1"/>
  <c r="I51" i="1" a="1"/>
  <c r="B56" i="1"/>
  <c r="C56" i="1"/>
  <c r="P53" i="1" s="1"/>
  <c r="D56" i="1"/>
  <c r="Q52" i="1" s="1"/>
  <c r="F56" i="1"/>
  <c r="S52" i="1" s="1"/>
  <c r="E37" i="1"/>
  <c r="R32" i="1" s="1"/>
  <c r="D37" i="1"/>
  <c r="Q32" i="1"/>
  <c r="C37" i="1"/>
  <c r="P32" i="1"/>
  <c r="B37" i="1"/>
  <c r="O32" i="1" s="1"/>
  <c r="I32" i="1" a="1"/>
  <c r="F37" i="1"/>
  <c r="S34" i="1" s="1"/>
  <c r="F18" i="1"/>
  <c r="M13" i="1" s="1"/>
  <c r="E18" i="1"/>
  <c r="L13" i="1" s="1"/>
  <c r="D18" i="1"/>
  <c r="K13" i="1" s="1"/>
  <c r="B5" i="1"/>
  <c r="B14" i="1" s="1"/>
  <c r="C13" i="1"/>
  <c r="I109" i="1" l="1"/>
  <c r="I110" i="1"/>
  <c r="I111" i="1"/>
  <c r="I112" i="1"/>
  <c r="I108" i="1"/>
  <c r="J108" i="1" s="1" a="1"/>
  <c r="J108" i="1" s="1"/>
  <c r="K108" i="1" s="1"/>
  <c r="L108" i="1" s="1"/>
  <c r="O110" i="1"/>
  <c r="O109" i="1"/>
  <c r="O111" i="1"/>
  <c r="F113" i="1"/>
  <c r="S108" i="1"/>
  <c r="R112" i="1"/>
  <c r="R110" i="1"/>
  <c r="R111" i="1"/>
  <c r="D113" i="1"/>
  <c r="Q109" i="1" s="1"/>
  <c r="P112" i="1"/>
  <c r="P109" i="1"/>
  <c r="S90" i="1"/>
  <c r="S92" i="1"/>
  <c r="S91" i="1"/>
  <c r="S93" i="1"/>
  <c r="R91" i="1"/>
  <c r="R93" i="1"/>
  <c r="R90" i="1"/>
  <c r="R92" i="1"/>
  <c r="Q93" i="1"/>
  <c r="Q91" i="1"/>
  <c r="Q92" i="1"/>
  <c r="Q90" i="1"/>
  <c r="P90" i="1"/>
  <c r="P92" i="1"/>
  <c r="P93" i="1"/>
  <c r="P91" i="1"/>
  <c r="O92" i="1"/>
  <c r="O90" i="1"/>
  <c r="O93" i="1"/>
  <c r="O91" i="1"/>
  <c r="T89" i="1"/>
  <c r="E118" i="1" s="1"/>
  <c r="U89" i="1"/>
  <c r="I90" i="1"/>
  <c r="I91" i="1"/>
  <c r="I92" i="1"/>
  <c r="I93" i="1"/>
  <c r="I89" i="1"/>
  <c r="J89" i="1" s="1" a="1"/>
  <c r="J89" i="1" s="1"/>
  <c r="K89" i="1" s="1"/>
  <c r="L89" i="1" s="1"/>
  <c r="O71" i="1"/>
  <c r="O72" i="1"/>
  <c r="O74" i="1"/>
  <c r="O70" i="1"/>
  <c r="Q73" i="1"/>
  <c r="Q71" i="1"/>
  <c r="Q72" i="1"/>
  <c r="Q74" i="1"/>
  <c r="S71" i="1"/>
  <c r="S72" i="1"/>
  <c r="S73" i="1"/>
  <c r="S74" i="1"/>
  <c r="R71" i="1"/>
  <c r="R72" i="1"/>
  <c r="R73" i="1"/>
  <c r="R74" i="1"/>
  <c r="I71" i="1"/>
  <c r="I72" i="1"/>
  <c r="I73" i="1"/>
  <c r="I74" i="1"/>
  <c r="I70" i="1"/>
  <c r="J70" i="1" s="1" a="1"/>
  <c r="J70" i="1" s="1"/>
  <c r="K70" i="1" s="1"/>
  <c r="L70" i="1" s="1"/>
  <c r="P73" i="1"/>
  <c r="P71" i="1"/>
  <c r="P72" i="1"/>
  <c r="P74" i="1"/>
  <c r="I52" i="1"/>
  <c r="I53" i="1"/>
  <c r="I54" i="1"/>
  <c r="I55" i="1"/>
  <c r="I51" i="1"/>
  <c r="J51" i="1" s="1" a="1"/>
  <c r="J51" i="1" s="1"/>
  <c r="K51" i="1" s="1"/>
  <c r="L51" i="1" s="1"/>
  <c r="O55" i="1"/>
  <c r="O53" i="1"/>
  <c r="O52" i="1"/>
  <c r="P51" i="1"/>
  <c r="P52" i="1"/>
  <c r="P54" i="1"/>
  <c r="P55" i="1"/>
  <c r="Q54" i="1"/>
  <c r="Q55" i="1"/>
  <c r="Q51" i="1"/>
  <c r="Q53" i="1"/>
  <c r="S51" i="1"/>
  <c r="S53" i="1"/>
  <c r="S54" i="1"/>
  <c r="S55" i="1"/>
  <c r="R33" i="1"/>
  <c r="R35" i="1"/>
  <c r="R36" i="1"/>
  <c r="R34" i="1"/>
  <c r="Q36" i="1"/>
  <c r="Q33" i="1"/>
  <c r="Q35" i="1"/>
  <c r="Q34" i="1"/>
  <c r="P33" i="1"/>
  <c r="P34" i="1"/>
  <c r="P35" i="1"/>
  <c r="P36" i="1"/>
  <c r="O34" i="1"/>
  <c r="O33" i="1"/>
  <c r="O35" i="1"/>
  <c r="O36" i="1"/>
  <c r="I33" i="1"/>
  <c r="I34" i="1"/>
  <c r="I35" i="1"/>
  <c r="I36" i="1"/>
  <c r="I32" i="1"/>
  <c r="J32" i="1" s="1" a="1"/>
  <c r="J32" i="1" s="1"/>
  <c r="K32" i="1" s="1"/>
  <c r="L32" i="1" s="1"/>
  <c r="S35" i="1"/>
  <c r="S32" i="1"/>
  <c r="S33" i="1"/>
  <c r="S36" i="1"/>
  <c r="M14" i="1"/>
  <c r="M15" i="1"/>
  <c r="M16" i="1"/>
  <c r="M17" i="1"/>
  <c r="L14" i="1"/>
  <c r="L15" i="1"/>
  <c r="L16" i="1"/>
  <c r="L17" i="1"/>
  <c r="K14" i="1"/>
  <c r="K16" i="1"/>
  <c r="K15" i="1"/>
  <c r="K17" i="1"/>
  <c r="B18" i="1"/>
  <c r="I14" i="1" s="1"/>
  <c r="J13" i="1"/>
  <c r="C18" i="1"/>
  <c r="P111" i="1"/>
  <c r="P110" i="1"/>
  <c r="O108" i="1"/>
  <c r="O112" i="1"/>
  <c r="R109" i="1"/>
  <c r="R108" i="1"/>
  <c r="O51" i="1"/>
  <c r="O54" i="1"/>
  <c r="S110" i="1" l="1"/>
  <c r="S109" i="1"/>
  <c r="S111" i="1"/>
  <c r="S112" i="1"/>
  <c r="Q112" i="1"/>
  <c r="Q108" i="1"/>
  <c r="Q110" i="1"/>
  <c r="Q111" i="1"/>
  <c r="U92" i="1"/>
  <c r="T92" i="1"/>
  <c r="E121" i="1" s="1"/>
  <c r="U90" i="1"/>
  <c r="T90" i="1"/>
  <c r="E119" i="1" s="1"/>
  <c r="T93" i="1"/>
  <c r="E122" i="1" s="1"/>
  <c r="U93" i="1"/>
  <c r="T91" i="1"/>
  <c r="E120" i="1" s="1"/>
  <c r="U91" i="1"/>
  <c r="U71" i="1"/>
  <c r="T71" i="1"/>
  <c r="D119" i="1" s="1"/>
  <c r="U72" i="1"/>
  <c r="T72" i="1"/>
  <c r="D120" i="1" s="1"/>
  <c r="U74" i="1"/>
  <c r="T74" i="1"/>
  <c r="D122" i="1" s="1"/>
  <c r="T70" i="1"/>
  <c r="D118" i="1" s="1"/>
  <c r="U70" i="1"/>
  <c r="T55" i="1"/>
  <c r="C122" i="1" s="1"/>
  <c r="U55" i="1"/>
  <c r="U53" i="1"/>
  <c r="T53" i="1"/>
  <c r="C120" i="1" s="1"/>
  <c r="T52" i="1"/>
  <c r="C119" i="1" s="1"/>
  <c r="U52" i="1"/>
  <c r="U34" i="1"/>
  <c r="T34" i="1"/>
  <c r="B120" i="1" s="1"/>
  <c r="U33" i="1"/>
  <c r="T33" i="1"/>
  <c r="B119" i="1" s="1"/>
  <c r="T35" i="1"/>
  <c r="B121" i="1" s="1"/>
  <c r="U35" i="1"/>
  <c r="U36" i="1"/>
  <c r="T36" i="1"/>
  <c r="B122" i="1" s="1"/>
  <c r="N14" i="1"/>
  <c r="I119" i="1" s="1"/>
  <c r="I15" i="1"/>
  <c r="I16" i="1"/>
  <c r="I17" i="1"/>
  <c r="I13" i="1"/>
  <c r="J15" i="1"/>
  <c r="J16" i="1"/>
  <c r="J17" i="1"/>
  <c r="J14" i="1"/>
  <c r="O14" i="1" s="1"/>
  <c r="U51" i="1"/>
  <c r="T51" i="1"/>
  <c r="C118" i="1" s="1"/>
  <c r="U54" i="1"/>
  <c r="T54" i="1"/>
  <c r="C121" i="1" s="1"/>
  <c r="T73" i="1"/>
  <c r="D121" i="1" s="1"/>
  <c r="U73" i="1"/>
  <c r="T32" i="1"/>
  <c r="B118" i="1" s="1"/>
  <c r="U32" i="1"/>
  <c r="O15" i="1" l="1"/>
  <c r="N15" i="1"/>
  <c r="I120" i="1" s="1"/>
  <c r="O16" i="1"/>
  <c r="N16" i="1"/>
  <c r="I121" i="1" s="1"/>
  <c r="O17" i="1"/>
  <c r="N17" i="1"/>
  <c r="I122" i="1" s="1"/>
  <c r="O13" i="1"/>
  <c r="N13" i="1"/>
  <c r="I118" i="1" s="1"/>
  <c r="T109" i="1"/>
  <c r="F119" i="1" s="1"/>
  <c r="U109" i="1"/>
  <c r="T112" i="1"/>
  <c r="F122" i="1" s="1"/>
  <c r="U112" i="1"/>
  <c r="U108" i="1"/>
  <c r="T108" i="1"/>
  <c r="F118" i="1" s="1"/>
  <c r="B125" i="1" s="1" a="1"/>
  <c r="T110" i="1"/>
  <c r="F120" i="1" s="1"/>
  <c r="U110" i="1"/>
  <c r="T111" i="1"/>
  <c r="F121" i="1" s="1"/>
  <c r="U111" i="1"/>
  <c r="B126" i="1" l="1"/>
  <c r="C126" i="1" s="1"/>
  <c r="B127" i="1"/>
  <c r="C127" i="1" s="1"/>
  <c r="B128" i="1"/>
  <c r="C128" i="1" s="1"/>
  <c r="B129" i="1"/>
  <c r="C129" i="1" s="1"/>
  <c r="B125" i="1"/>
  <c r="C125" i="1" s="1"/>
</calcChain>
</file>

<file path=xl/sharedStrings.xml><?xml version="1.0" encoding="utf-8"?>
<sst xmlns="http://schemas.openxmlformats.org/spreadsheetml/2006/main" count="428" uniqueCount="44">
  <si>
    <t>Дмитрий</t>
  </si>
  <si>
    <t>Константин</t>
  </si>
  <si>
    <t>Скорость работы над проектом</t>
  </si>
  <si>
    <t>Простота реализации</t>
  </si>
  <si>
    <t>Актуальность</t>
  </si>
  <si>
    <t>Экономичность</t>
  </si>
  <si>
    <t>Потенциал для развития</t>
  </si>
  <si>
    <t>ОБЩИЕ ТАБЛИЦЫ</t>
  </si>
  <si>
    <t>Вес в долях</t>
  </si>
  <si>
    <t>Вес в процентах</t>
  </si>
  <si>
    <t>Сумма</t>
  </si>
  <si>
    <t>ОЦЕНКИ ЭКСПЕРТОВ: СКОРОСТЬ РАБОТЫ НАД ПРОЕКТОМ</t>
  </si>
  <si>
    <t>Страхование</t>
  </si>
  <si>
    <t>Кредиты</t>
  </si>
  <si>
    <t>Тг-бот</t>
  </si>
  <si>
    <t>Калории</t>
  </si>
  <si>
    <t>Аптечка</t>
  </si>
  <si>
    <t>ОБЩИЕ ТАБЛИЦЫ: СКОРОСТЬ РАБОТЫ НАД ПРОЕКТОМ</t>
  </si>
  <si>
    <t>p - Нормальзованные оценки вектора приоритета</t>
  </si>
  <si>
    <t>е</t>
  </si>
  <si>
    <t>р</t>
  </si>
  <si>
    <t>λmax</t>
  </si>
  <si>
    <t>Индекс согласованности</t>
  </si>
  <si>
    <t>Отношение согласованности</t>
  </si>
  <si>
    <t>Нормировка</t>
  </si>
  <si>
    <t>ОЦЕНКИ ЭКСПЕРТОВ: ПРОСТОТА РЕАЛИЗАЦИИ</t>
  </si>
  <si>
    <t>ОБЩИЕ ТАБЛИЦЫ: ПРОСТОТА РЕАЛИЗАЦИИ</t>
  </si>
  <si>
    <t>ОЦЕНКИ ЭКСПЕРТОВ: АКТУАЛЬНОСТЬ</t>
  </si>
  <si>
    <t>ОБЩИЕ ТАБЛИЦЫ: АКТУАЛЬНОСТЬ</t>
  </si>
  <si>
    <t>ОЦЕНКИ ЭКСПЕРТОВ: ЭКОНОМИЧНОСТЬ</t>
  </si>
  <si>
    <t>ОБЩИЕ ТАБЛИЦЫ: ЭКОНОМИЧНОСТЬ</t>
  </si>
  <si>
    <t>ОЦЕНКИ ЭКСПЕРТОВ: ПОТЕНЦИАЛ ДЛЯ РАЗВИТИЯ</t>
  </si>
  <si>
    <t>ОБЩИЕ ТАБЛИЦЫ: ПОТЕНЦИАЛ ДЛЯ РАЗВИТИЯ</t>
  </si>
  <si>
    <t>ИТОГ</t>
  </si>
  <si>
    <t>Веса в долях</t>
  </si>
  <si>
    <t>Критерии</t>
  </si>
  <si>
    <t>Веса альтернатив</t>
  </si>
  <si>
    <t>Концепции проектов</t>
  </si>
  <si>
    <t>Короткое название</t>
  </si>
  <si>
    <t>Веб-приложение для создания и оформления страховых продуктов</t>
  </si>
  <si>
    <t>Веб-приложение для оформления кредитов</t>
  </si>
  <si>
    <t>Телеграмм-бот для подписки на обновления в информационных ресурсах</t>
  </si>
  <si>
    <t>Мобильное приложение Калории</t>
  </si>
  <si>
    <t>Мобильное приложение Аптечка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</si>
</sst>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charset val="1"/>
    </font>
    <font>
      <b/>
      <sz val="12"/>
      <color theme="1"/>
      <name val="Arial"/>
      <charset val="1"/>
    </font>
    <font>
      <sz val="11"/>
      <color theme="1"/>
      <name val="Arial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b/>
      <sz val="11"/>
      <color theme="1"/>
      <name val="Arial"/>
      <charset val="1"/>
    </font>
    <font>
      <b/>
      <sz val="11"/>
      <color theme="1"/>
      <name val="Calibri"/>
      <charset val="1"/>
    </font>
    <font>
      <sz val="11"/>
      <color theme="1"/>
      <name val="Calibri"/>
      <charset val="1"/>
    </font>
    <font>
      <b/>
      <sz val="11"/>
      <color rgb="FF000000"/>
      <name val="Arial"/>
      <charset val="1"/>
    </font>
  </fonts>
  <fills count="20">
    <fill>
      <patternFill patternType="none"/>
    </fill>
    <fill>
      <patternFill patternType="gray125"/>
    </fill>
    <fill>
      <patternFill patternType="solid">
        <fgColor rgb="FFEAD1DC"/>
        <bgColor rgb="FFF8CBAD"/>
      </patternFill>
    </fill>
    <fill>
      <patternFill patternType="solid">
        <fgColor theme="0"/>
        <bgColor rgb="FFFFF2CC"/>
      </patternFill>
    </fill>
    <fill>
      <patternFill patternType="solid">
        <fgColor rgb="FFC9DAF8"/>
        <bgColor rgb="FFD9EAD3"/>
      </patternFill>
    </fill>
    <fill>
      <patternFill patternType="solid">
        <fgColor rgb="FFF8CBAD"/>
        <bgColor rgb="FFF9CB9C"/>
      </patternFill>
    </fill>
    <fill>
      <patternFill patternType="solid">
        <fgColor rgb="FFD5A6BD"/>
        <bgColor rgb="FFEA9999"/>
      </patternFill>
    </fill>
    <fill>
      <patternFill patternType="solid">
        <fgColor rgb="FFA2C4C9"/>
        <bgColor rgb="FFB6D7A8"/>
      </patternFill>
    </fill>
    <fill>
      <patternFill patternType="solid">
        <fgColor rgb="FFD9EAD3"/>
        <bgColor rgb="FFD8E4BC"/>
      </patternFill>
    </fill>
    <fill>
      <patternFill patternType="solid">
        <fgColor rgb="FFF9CB9C"/>
        <bgColor rgb="FFF8CBAD"/>
      </patternFill>
    </fill>
    <fill>
      <patternFill patternType="solid">
        <fgColor rgb="FFD8E4BC"/>
        <bgColor rgb="FFD9EAD3"/>
      </patternFill>
    </fill>
    <fill>
      <patternFill patternType="solid">
        <fgColor rgb="FFA9D08E"/>
        <bgColor rgb="FFB6D7A8"/>
      </patternFill>
    </fill>
    <fill>
      <patternFill patternType="solid">
        <fgColor rgb="FFB4A7D6"/>
        <bgColor rgb="FFD5A6BD"/>
      </patternFill>
    </fill>
    <fill>
      <patternFill patternType="solid">
        <fgColor rgb="FFEA9999"/>
        <bgColor rgb="FFD5A6BD"/>
      </patternFill>
    </fill>
    <fill>
      <patternFill patternType="solid">
        <fgColor rgb="FFE06666"/>
        <bgColor rgb="FFFF6600"/>
      </patternFill>
    </fill>
    <fill>
      <patternFill patternType="solid">
        <fgColor rgb="FFFFE599"/>
        <bgColor rgb="FFFFF2CC"/>
      </patternFill>
    </fill>
    <fill>
      <patternFill patternType="solid">
        <fgColor theme="0"/>
        <bgColor rgb="FFA9D08E"/>
      </patternFill>
    </fill>
    <fill>
      <patternFill patternType="solid">
        <fgColor theme="7" tint="0.39997558519241921"/>
        <bgColor rgb="FFF8CBAD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rgb="FFFFFF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14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13" borderId="0" xfId="0" applyFont="1" applyFill="1" applyAlignment="1">
      <alignment horizontal="center" vertical="center" wrapText="1"/>
    </xf>
    <xf numFmtId="0" fontId="5" fillId="12" borderId="0" xfId="0" applyFont="1" applyFill="1" applyAlignment="1">
      <alignment horizontal="center" vertical="center" wrapText="1"/>
    </xf>
    <xf numFmtId="0" fontId="5" fillId="11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4" fontId="7" fillId="3" borderId="1" xfId="0" applyNumberFormat="1" applyFont="1" applyFill="1" applyBorder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6" fillId="1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0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16" borderId="1" xfId="0" applyFont="1" applyFill="1" applyBorder="1" applyAlignment="1">
      <alignment horizontal="center" vertical="center" wrapText="1"/>
    </xf>
    <xf numFmtId="10" fontId="2" fillId="16" borderId="1" xfId="0" applyNumberFormat="1" applyFont="1" applyFill="1" applyBorder="1" applyAlignment="1">
      <alignment horizontal="center" vertical="center" wrapText="1"/>
    </xf>
    <xf numFmtId="0" fontId="5" fillId="17" borderId="4" xfId="0" applyFont="1" applyFill="1" applyBorder="1" applyAlignment="1">
      <alignment horizontal="center" vertical="center" wrapText="1"/>
    </xf>
    <xf numFmtId="0" fontId="2" fillId="18" borderId="5" xfId="0" applyFont="1" applyFill="1" applyBorder="1" applyAlignment="1">
      <alignment horizontal="center" vertical="center" wrapText="1"/>
    </xf>
    <xf numFmtId="10" fontId="2" fillId="18" borderId="6" xfId="0" applyNumberFormat="1" applyFont="1" applyFill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center"/>
    </xf>
    <xf numFmtId="0" fontId="7" fillId="1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2C4C9"/>
      <rgbColor rgb="FF808080"/>
      <rgbColor rgb="FF9999FF"/>
      <rgbColor rgb="FF993366"/>
      <rgbColor rgb="FFFFF2CC"/>
      <rgbColor rgb="FFD8E4BC"/>
      <rgbColor rgb="FF660066"/>
      <rgbColor rgb="FFE06666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D1DC"/>
      <rgbColor rgb="FFD9EAD3"/>
      <rgbColor rgb="FFFFE599"/>
      <rgbColor rgb="FFB6D7A8"/>
      <rgbColor rgb="FFEA9999"/>
      <rgbColor rgb="FFB4A7D6"/>
      <rgbColor rgb="FFF9CB9C"/>
      <rgbColor rgb="FF3366FF"/>
      <rgbColor rgb="FF33CCCC"/>
      <rgbColor rgb="FFA9D08E"/>
      <rgbColor rgb="FFF8CBAD"/>
      <rgbColor rgb="FFFF9900"/>
      <rgbColor rgb="FFFF6600"/>
      <rgbColor rgb="FF666699"/>
      <rgbColor rgb="FFD5A6BD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tabSelected="1" zoomScaleNormal="100" workbookViewId="0">
      <selection activeCell="J14" sqref="J14"/>
    </sheetView>
  </sheetViews>
  <sheetFormatPr defaultColWidth="12.5703125" defaultRowHeight="12.75" x14ac:dyDescent="0.2"/>
  <cols>
    <col min="1" max="1" width="22.42578125" customWidth="1"/>
    <col min="2" max="2" width="16.42578125" customWidth="1"/>
    <col min="4" max="4" width="14.28515625" customWidth="1"/>
    <col min="5" max="5" width="16.28515625" customWidth="1"/>
    <col min="8" max="8" width="16.5703125" customWidth="1"/>
    <col min="9" max="9" width="16.42578125" customWidth="1"/>
    <col min="10" max="10" width="17.140625" customWidth="1"/>
    <col min="11" max="11" width="16.7109375" customWidth="1"/>
    <col min="12" max="12" width="15.140625" customWidth="1"/>
    <col min="14" max="14" width="17" customWidth="1"/>
    <col min="15" max="15" width="19.140625" customWidth="1"/>
    <col min="16" max="16" width="16.28515625" customWidth="1"/>
    <col min="19" max="19" width="14.5703125" customWidth="1"/>
  </cols>
  <sheetData>
    <row r="1" spans="1:22" ht="15.75" customHeight="1" x14ac:dyDescent="0.2">
      <c r="A1" s="8" t="s">
        <v>0</v>
      </c>
      <c r="B1" s="8"/>
      <c r="C1" s="8"/>
      <c r="D1" s="8"/>
      <c r="E1" s="8"/>
      <c r="F1" s="8"/>
      <c r="G1" s="9"/>
      <c r="H1" s="8" t="s">
        <v>1</v>
      </c>
      <c r="I1" s="8"/>
      <c r="J1" s="8"/>
      <c r="K1" s="8"/>
      <c r="L1" s="8"/>
      <c r="M1" s="8"/>
      <c r="N1" s="10"/>
      <c r="O1" s="8" t="s">
        <v>0</v>
      </c>
      <c r="P1" s="8"/>
      <c r="Q1" s="8"/>
      <c r="R1" s="8"/>
      <c r="S1" s="8"/>
      <c r="T1" s="8"/>
      <c r="U1" s="9"/>
      <c r="V1" s="9"/>
    </row>
    <row r="2" spans="1:22" ht="15.75" customHeight="1" x14ac:dyDescent="0.2">
      <c r="A2" s="11"/>
      <c r="B2" s="12"/>
      <c r="C2" s="12"/>
      <c r="D2" s="12"/>
      <c r="E2" s="12"/>
      <c r="F2" s="12"/>
      <c r="G2" s="11"/>
      <c r="H2" s="11"/>
      <c r="I2" s="12"/>
      <c r="J2" s="12"/>
      <c r="K2" s="12"/>
      <c r="L2" s="12"/>
      <c r="M2" s="12"/>
      <c r="N2" s="10"/>
      <c r="O2" s="11"/>
      <c r="P2" s="12"/>
      <c r="Q2" s="12"/>
      <c r="R2" s="12"/>
      <c r="S2" s="12"/>
      <c r="T2" s="12"/>
      <c r="U2" s="11"/>
      <c r="V2" s="11"/>
    </row>
    <row r="3" spans="1:22" ht="30" customHeight="1" x14ac:dyDescent="0.2">
      <c r="A3" s="13"/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0"/>
      <c r="H3" s="13"/>
      <c r="I3" s="14" t="s">
        <v>2</v>
      </c>
      <c r="J3" s="14" t="s">
        <v>3</v>
      </c>
      <c r="K3" s="14" t="s">
        <v>4</v>
      </c>
      <c r="L3" s="14" t="s">
        <v>5</v>
      </c>
      <c r="M3" s="14" t="s">
        <v>6</v>
      </c>
      <c r="N3" s="10"/>
      <c r="O3" s="13"/>
      <c r="P3" s="14" t="s">
        <v>2</v>
      </c>
      <c r="Q3" s="14" t="s">
        <v>3</v>
      </c>
      <c r="R3" s="14" t="s">
        <v>4</v>
      </c>
      <c r="S3" s="14" t="s">
        <v>5</v>
      </c>
      <c r="T3" s="14" t="s">
        <v>6</v>
      </c>
      <c r="U3" s="10"/>
      <c r="V3" s="11"/>
    </row>
    <row r="4" spans="1:22" ht="35.25" customHeight="1" x14ac:dyDescent="0.2">
      <c r="A4" s="14" t="s">
        <v>2</v>
      </c>
      <c r="B4" s="15">
        <v>1</v>
      </c>
      <c r="C4" s="15">
        <f>3</f>
        <v>3</v>
      </c>
      <c r="D4" s="15">
        <f>1/B6</f>
        <v>0.2</v>
      </c>
      <c r="E4" s="15">
        <f>1/B7</f>
        <v>0.14285714285714285</v>
      </c>
      <c r="F4" s="15">
        <f>1/B8</f>
        <v>0.33333333333333331</v>
      </c>
      <c r="G4" s="10"/>
      <c r="H4" s="14" t="s">
        <v>2</v>
      </c>
      <c r="I4" s="16">
        <v>1</v>
      </c>
      <c r="J4" s="16">
        <v>2</v>
      </c>
      <c r="K4" s="16">
        <v>6</v>
      </c>
      <c r="L4" s="16">
        <v>4</v>
      </c>
      <c r="M4" s="16">
        <v>9</v>
      </c>
      <c r="N4" s="10"/>
      <c r="O4" s="14" t="s">
        <v>2</v>
      </c>
      <c r="P4" s="16">
        <v>1</v>
      </c>
      <c r="Q4" s="16">
        <f>1/P5</f>
        <v>0.14285714285714285</v>
      </c>
      <c r="R4" s="16">
        <f>1/P6</f>
        <v>0.2</v>
      </c>
      <c r="S4" s="16">
        <f>1/P7</f>
        <v>0.5</v>
      </c>
      <c r="T4" s="16">
        <f>1/P8</f>
        <v>0.14285714285714285</v>
      </c>
      <c r="U4" s="10"/>
      <c r="V4" s="12"/>
    </row>
    <row r="5" spans="1:22" ht="29.25" customHeight="1" x14ac:dyDescent="0.2">
      <c r="A5" s="14" t="s">
        <v>3</v>
      </c>
      <c r="B5" s="15">
        <f>1/C4</f>
        <v>0.33333333333333331</v>
      </c>
      <c r="C5" s="15">
        <v>1</v>
      </c>
      <c r="D5" s="15">
        <f>1/C6</f>
        <v>0.14285714285714285</v>
      </c>
      <c r="E5" s="15">
        <f>1/C7</f>
        <v>0.1111111111111111</v>
      </c>
      <c r="F5" s="15">
        <f>1/C8</f>
        <v>0.16666666666666666</v>
      </c>
      <c r="G5" s="10"/>
      <c r="H5" s="14" t="s">
        <v>3</v>
      </c>
      <c r="I5" s="16">
        <f>1/J4</f>
        <v>0.5</v>
      </c>
      <c r="J5" s="16">
        <v>1</v>
      </c>
      <c r="K5" s="16">
        <v>5</v>
      </c>
      <c r="L5" s="16">
        <v>3</v>
      </c>
      <c r="M5" s="16">
        <v>7</v>
      </c>
      <c r="N5" s="10"/>
      <c r="O5" s="14" t="s">
        <v>3</v>
      </c>
      <c r="P5" s="16">
        <v>7</v>
      </c>
      <c r="Q5" s="16">
        <v>1</v>
      </c>
      <c r="R5" s="16">
        <v>4</v>
      </c>
      <c r="S5" s="16">
        <v>5</v>
      </c>
      <c r="T5" s="16">
        <v>2</v>
      </c>
      <c r="U5" s="10"/>
      <c r="V5" s="12"/>
    </row>
    <row r="6" spans="1:22" ht="15.75" customHeight="1" x14ac:dyDescent="0.2">
      <c r="A6" s="14" t="s">
        <v>4</v>
      </c>
      <c r="B6" s="15">
        <f>5</f>
        <v>5</v>
      </c>
      <c r="C6" s="15">
        <f>7</f>
        <v>7</v>
      </c>
      <c r="D6" s="15">
        <v>1</v>
      </c>
      <c r="E6" s="15">
        <f>1/D7</f>
        <v>0.33333333333333331</v>
      </c>
      <c r="F6" s="15">
        <v>2</v>
      </c>
      <c r="G6" s="10"/>
      <c r="H6" s="14" t="s">
        <v>4</v>
      </c>
      <c r="I6" s="16">
        <f>1/K4</f>
        <v>0.16666666666666666</v>
      </c>
      <c r="J6" s="16">
        <f>1/K5</f>
        <v>0.2</v>
      </c>
      <c r="K6" s="16">
        <v>1</v>
      </c>
      <c r="L6" s="16">
        <f>1/K7</f>
        <v>0.25</v>
      </c>
      <c r="M6" s="16">
        <v>5</v>
      </c>
      <c r="N6" s="10"/>
      <c r="O6" s="14" t="s">
        <v>4</v>
      </c>
      <c r="P6" s="16">
        <v>5</v>
      </c>
      <c r="Q6" s="16">
        <f>1/R5</f>
        <v>0.25</v>
      </c>
      <c r="R6" s="16">
        <v>1</v>
      </c>
      <c r="S6" s="16">
        <v>3</v>
      </c>
      <c r="T6" s="16">
        <f>1/R8</f>
        <v>0.33333333333333331</v>
      </c>
      <c r="U6" s="10"/>
      <c r="V6" s="12"/>
    </row>
    <row r="7" spans="1:22" ht="15.75" customHeight="1" x14ac:dyDescent="0.2">
      <c r="A7" s="14" t="s">
        <v>5</v>
      </c>
      <c r="B7" s="15">
        <f>7</f>
        <v>7</v>
      </c>
      <c r="C7" s="15">
        <f>9</f>
        <v>9</v>
      </c>
      <c r="D7" s="15">
        <v>3</v>
      </c>
      <c r="E7" s="15">
        <v>1</v>
      </c>
      <c r="F7" s="15">
        <v>5</v>
      </c>
      <c r="G7" s="10"/>
      <c r="H7" s="14" t="s">
        <v>5</v>
      </c>
      <c r="I7" s="16">
        <f>1/L4</f>
        <v>0.25</v>
      </c>
      <c r="J7" s="16">
        <f>1/L5</f>
        <v>0.33333333333333331</v>
      </c>
      <c r="K7" s="16">
        <v>4</v>
      </c>
      <c r="L7" s="16">
        <v>1</v>
      </c>
      <c r="M7" s="16">
        <v>7</v>
      </c>
      <c r="N7" s="10"/>
      <c r="O7" s="14" t="s">
        <v>5</v>
      </c>
      <c r="P7" s="16">
        <v>2</v>
      </c>
      <c r="Q7" s="16">
        <f>1/S5</f>
        <v>0.2</v>
      </c>
      <c r="R7" s="16">
        <f>1/S6</f>
        <v>0.33333333333333331</v>
      </c>
      <c r="S7" s="16">
        <v>1</v>
      </c>
      <c r="T7" s="16">
        <f>1/S8</f>
        <v>0.2</v>
      </c>
      <c r="U7" s="10"/>
      <c r="V7" s="12"/>
    </row>
    <row r="8" spans="1:22" ht="33.75" customHeight="1" x14ac:dyDescent="0.2">
      <c r="A8" s="14" t="s">
        <v>6</v>
      </c>
      <c r="B8" s="15">
        <f>3</f>
        <v>3</v>
      </c>
      <c r="C8" s="15">
        <f>6</f>
        <v>6</v>
      </c>
      <c r="D8" s="15">
        <f>1/F6</f>
        <v>0.5</v>
      </c>
      <c r="E8" s="15">
        <f>1/F7</f>
        <v>0.2</v>
      </c>
      <c r="F8" s="15">
        <v>1</v>
      </c>
      <c r="G8" s="10"/>
      <c r="H8" s="14" t="s">
        <v>6</v>
      </c>
      <c r="I8" s="16">
        <f>1/M4</f>
        <v>0.1111111111111111</v>
      </c>
      <c r="J8" s="16">
        <f>1/M5</f>
        <v>0.14285714285714285</v>
      </c>
      <c r="K8" s="16">
        <f>1/M6</f>
        <v>0.2</v>
      </c>
      <c r="L8" s="16">
        <f>1/M7</f>
        <v>0.14285714285714285</v>
      </c>
      <c r="M8" s="16">
        <v>1</v>
      </c>
      <c r="N8" s="10"/>
      <c r="O8" s="14" t="s">
        <v>6</v>
      </c>
      <c r="P8" s="16">
        <v>7</v>
      </c>
      <c r="Q8" s="16">
        <f>1/T5</f>
        <v>0.5</v>
      </c>
      <c r="R8" s="16">
        <v>3</v>
      </c>
      <c r="S8" s="16">
        <v>5</v>
      </c>
      <c r="T8" s="16">
        <v>1</v>
      </c>
      <c r="U8" s="10"/>
      <c r="V8" s="12"/>
    </row>
    <row r="9" spans="1:22" ht="15.75" customHeight="1" x14ac:dyDescent="0.2">
      <c r="A9" s="17"/>
      <c r="B9" s="17"/>
      <c r="C9" s="17"/>
      <c r="D9" s="17"/>
      <c r="E9" s="17"/>
      <c r="F9" s="17"/>
      <c r="G9" s="10"/>
      <c r="H9" s="17"/>
      <c r="I9" s="17"/>
      <c r="J9" s="17"/>
      <c r="K9" s="17"/>
      <c r="L9" s="17"/>
      <c r="M9" s="17"/>
      <c r="N9" s="10"/>
      <c r="O9" s="17"/>
      <c r="P9" s="17"/>
      <c r="Q9" s="17"/>
      <c r="R9" s="17"/>
      <c r="S9" s="17"/>
      <c r="T9" s="17"/>
      <c r="U9" s="10"/>
      <c r="V9" s="10"/>
    </row>
    <row r="10" spans="1:22" ht="15.75" customHeight="1" x14ac:dyDescent="0.2">
      <c r="A10" s="7" t="s">
        <v>7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10"/>
      <c r="V10" s="10"/>
    </row>
    <row r="11" spans="1:22" ht="15.75" customHeight="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</row>
    <row r="12" spans="1:22" ht="54" customHeight="1" x14ac:dyDescent="0.2">
      <c r="A12" s="18"/>
      <c r="B12" s="14" t="s">
        <v>2</v>
      </c>
      <c r="C12" s="14" t="s">
        <v>3</v>
      </c>
      <c r="D12" s="14" t="s">
        <v>4</v>
      </c>
      <c r="E12" s="14" t="s">
        <v>5</v>
      </c>
      <c r="F12" s="14" t="s">
        <v>6</v>
      </c>
      <c r="G12" s="10"/>
      <c r="H12" s="19"/>
      <c r="I12" s="20" t="s">
        <v>2</v>
      </c>
      <c r="J12" s="20" t="s">
        <v>3</v>
      </c>
      <c r="K12" s="20" t="s">
        <v>4</v>
      </c>
      <c r="L12" s="20" t="s">
        <v>5</v>
      </c>
      <c r="M12" s="20" t="s">
        <v>6</v>
      </c>
      <c r="N12" s="21" t="s">
        <v>8</v>
      </c>
      <c r="O12" s="21" t="s">
        <v>9</v>
      </c>
      <c r="P12" s="10"/>
      <c r="Q12" s="10"/>
      <c r="R12" s="10"/>
      <c r="S12" s="10"/>
      <c r="T12" s="10"/>
      <c r="U12" s="10"/>
      <c r="V12" s="10"/>
    </row>
    <row r="13" spans="1:22" ht="33.75" customHeight="1" x14ac:dyDescent="0.2">
      <c r="A13" s="14" t="s">
        <v>2</v>
      </c>
      <c r="B13" s="15">
        <f t="shared" ref="B13:F17" si="0">POWER(B4*I4*P4,1/3)</f>
        <v>1</v>
      </c>
      <c r="C13" s="15">
        <f t="shared" si="0"/>
        <v>0.94991425159299647</v>
      </c>
      <c r="D13" s="15">
        <f t="shared" si="0"/>
        <v>0.62144650119077183</v>
      </c>
      <c r="E13" s="15">
        <f t="shared" si="0"/>
        <v>0.6586337560083495</v>
      </c>
      <c r="F13" s="15">
        <f t="shared" si="0"/>
        <v>0.75394744112915379</v>
      </c>
      <c r="G13" s="10"/>
      <c r="H13" s="20" t="s">
        <v>2</v>
      </c>
      <c r="I13" s="22">
        <f>B13/$B$18</f>
        <v>0.15369193079099547</v>
      </c>
      <c r="J13" s="22">
        <f>C13/$C$18</f>
        <v>0.22340283120120513</v>
      </c>
      <c r="K13" s="22">
        <f>D13/$D$18</f>
        <v>0.11731461961074613</v>
      </c>
      <c r="L13" s="22">
        <f>E13/$E$18</f>
        <v>0.16478271231400413</v>
      </c>
      <c r="M13" s="23">
        <f>F13/$F$18</f>
        <v>0.11622377851403935</v>
      </c>
      <c r="N13" s="10">
        <f>AVERAGE(I13:M13)</f>
        <v>0.15508317448619804</v>
      </c>
      <c r="O13" s="24">
        <f>AVERAGE(I13:M13)</f>
        <v>0.15508317448619804</v>
      </c>
      <c r="P13" s="10"/>
      <c r="Q13" s="10"/>
      <c r="R13" s="10"/>
      <c r="S13" s="10"/>
      <c r="T13" s="10"/>
      <c r="U13" s="10"/>
      <c r="V13" s="10"/>
    </row>
    <row r="14" spans="1:22" ht="33" customHeight="1" x14ac:dyDescent="0.2">
      <c r="A14" s="14" t="s">
        <v>3</v>
      </c>
      <c r="B14" s="15">
        <f t="shared" si="0"/>
        <v>1.0527265996093964</v>
      </c>
      <c r="C14" s="15">
        <f t="shared" si="0"/>
        <v>1</v>
      </c>
      <c r="D14" s="15">
        <f t="shared" si="0"/>
        <v>1.4189834119703837</v>
      </c>
      <c r="E14" s="15">
        <f t="shared" si="0"/>
        <v>1.1856311014966876</v>
      </c>
      <c r="F14" s="15">
        <f t="shared" si="0"/>
        <v>1.3263524026321305</v>
      </c>
      <c r="G14" s="10"/>
      <c r="H14" s="20" t="s">
        <v>3</v>
      </c>
      <c r="I14" s="22">
        <f>B14/$B$18</f>
        <v>0.16179558368900734</v>
      </c>
      <c r="J14" s="22">
        <f>C14/$C$18</f>
        <v>0.2351821028335567</v>
      </c>
      <c r="K14" s="22">
        <f>D14/$D$18</f>
        <v>0.26787100561398441</v>
      </c>
      <c r="L14" s="22">
        <f>E14/$E$18</f>
        <v>0.29663148438141662</v>
      </c>
      <c r="M14" s="23">
        <f>F14/$F$18</f>
        <v>0.20446211428771682</v>
      </c>
      <c r="N14" s="10">
        <f>AVERAGE(I14:M14)</f>
        <v>0.23318845816113637</v>
      </c>
      <c r="O14" s="24">
        <f>AVERAGE(I14:M14)</f>
        <v>0.23318845816113637</v>
      </c>
      <c r="P14" s="10"/>
      <c r="Q14" s="10"/>
      <c r="R14" s="10"/>
      <c r="S14" s="10"/>
      <c r="T14" s="10"/>
      <c r="U14" s="10"/>
      <c r="V14" s="10"/>
    </row>
    <row r="15" spans="1:22" ht="15.75" customHeight="1" x14ac:dyDescent="0.2">
      <c r="A15" s="14" t="s">
        <v>4</v>
      </c>
      <c r="B15" s="15">
        <f t="shared" si="0"/>
        <v>1.6091489743427161</v>
      </c>
      <c r="C15" s="15">
        <f t="shared" si="0"/>
        <v>0.70472987320648917</v>
      </c>
      <c r="D15" s="15">
        <f t="shared" si="0"/>
        <v>1</v>
      </c>
      <c r="E15" s="15">
        <f t="shared" si="0"/>
        <v>0.6299605249474366</v>
      </c>
      <c r="F15" s="15">
        <f t="shared" si="0"/>
        <v>1.4938015821857216</v>
      </c>
      <c r="G15" s="10"/>
      <c r="H15" s="20" t="s">
        <v>4</v>
      </c>
      <c r="I15" s="22">
        <f>B15/$B$18</f>
        <v>0.24731321279708204</v>
      </c>
      <c r="J15" s="22">
        <f>C15/$C$18</f>
        <v>0.16573985351032791</v>
      </c>
      <c r="K15" s="22">
        <f>D15/$D$18</f>
        <v>0.18877669982203801</v>
      </c>
      <c r="L15" s="22">
        <f>E15/$E$18</f>
        <v>0.15760899438363513</v>
      </c>
      <c r="M15" s="23">
        <f>F15/$F$18</f>
        <v>0.23027502284755944</v>
      </c>
      <c r="N15" s="10">
        <f>AVERAGE(I15:M15)</f>
        <v>0.19794275667212849</v>
      </c>
      <c r="O15" s="24">
        <f>AVERAGE(I15:M15)</f>
        <v>0.19794275667212849</v>
      </c>
      <c r="P15" s="10"/>
      <c r="Q15" s="10"/>
      <c r="R15" s="10"/>
      <c r="S15" s="10"/>
      <c r="T15" s="10"/>
      <c r="U15" s="10"/>
      <c r="V15" s="10"/>
    </row>
    <row r="16" spans="1:22" ht="15.75" customHeight="1" x14ac:dyDescent="0.2">
      <c r="A16" s="14" t="s">
        <v>5</v>
      </c>
      <c r="B16" s="15">
        <f t="shared" si="0"/>
        <v>1.5182944859378313</v>
      </c>
      <c r="C16" s="15">
        <f t="shared" si="0"/>
        <v>0.84343266530174932</v>
      </c>
      <c r="D16" s="15">
        <f t="shared" si="0"/>
        <v>1.5874010519681994</v>
      </c>
      <c r="E16" s="15">
        <f t="shared" si="0"/>
        <v>1</v>
      </c>
      <c r="F16" s="15">
        <f t="shared" si="0"/>
        <v>1.9129311827723889</v>
      </c>
      <c r="G16" s="10"/>
      <c r="H16" s="20" t="s">
        <v>5</v>
      </c>
      <c r="I16" s="22">
        <f>B16/$B$18</f>
        <v>0.2333496110531072</v>
      </c>
      <c r="J16" s="22">
        <f>C16/$C$18</f>
        <v>0.19836026782417682</v>
      </c>
      <c r="K16" s="22">
        <f>D16/$D$18</f>
        <v>0.29966433188458813</v>
      </c>
      <c r="L16" s="22">
        <f>E16/$E$18</f>
        <v>0.25018868348423245</v>
      </c>
      <c r="M16" s="23">
        <f>F16/$F$18</f>
        <v>0.2948853964756038</v>
      </c>
      <c r="N16" s="10">
        <f>AVERAGE(I16:M16)</f>
        <v>0.25528965814434168</v>
      </c>
      <c r="O16" s="24">
        <f>AVERAGE(I16:M16)</f>
        <v>0.25528965814434168</v>
      </c>
      <c r="P16" s="10"/>
      <c r="Q16" s="10"/>
      <c r="R16" s="10"/>
      <c r="S16" s="10"/>
      <c r="T16" s="10"/>
      <c r="U16" s="10"/>
      <c r="V16" s="10"/>
    </row>
    <row r="17" spans="1:22" ht="32.25" customHeight="1" x14ac:dyDescent="0.2">
      <c r="A17" s="14" t="s">
        <v>6</v>
      </c>
      <c r="B17" s="15">
        <f t="shared" si="0"/>
        <v>1.3263524026321305</v>
      </c>
      <c r="C17" s="15">
        <f t="shared" si="0"/>
        <v>0.75394744112915379</v>
      </c>
      <c r="D17" s="15">
        <f t="shared" si="0"/>
        <v>0.66943295008216952</v>
      </c>
      <c r="E17" s="15">
        <f t="shared" si="0"/>
        <v>0.52275795857471019</v>
      </c>
      <c r="F17" s="15">
        <f t="shared" si="0"/>
        <v>1</v>
      </c>
      <c r="G17" s="10"/>
      <c r="H17" s="20" t="s">
        <v>6</v>
      </c>
      <c r="I17" s="22">
        <f>B17/$B$18</f>
        <v>0.20384966166980795</v>
      </c>
      <c r="J17" s="22">
        <f>C17/$C$18</f>
        <v>0.17731494463073358</v>
      </c>
      <c r="K17" s="22">
        <f>D17/$D$18</f>
        <v>0.12637334306864309</v>
      </c>
      <c r="L17" s="22">
        <f>E17/$E$18</f>
        <v>0.13078812543671164</v>
      </c>
      <c r="M17" s="23">
        <f>F17/$F$18</f>
        <v>0.15415368787508071</v>
      </c>
      <c r="N17" s="10">
        <f>AVERAGE(I17:M17)</f>
        <v>0.15849595253619539</v>
      </c>
      <c r="O17" s="24">
        <f>AVERAGE(I17:M17)</f>
        <v>0.15849595253619539</v>
      </c>
      <c r="P17" s="10"/>
      <c r="Q17" s="10"/>
      <c r="R17" s="10"/>
      <c r="S17" s="10"/>
      <c r="T17" s="10"/>
      <c r="U17" s="10"/>
      <c r="V17" s="10"/>
    </row>
    <row r="18" spans="1:22" ht="15.75" customHeight="1" x14ac:dyDescent="0.2">
      <c r="A18" s="17" t="s">
        <v>10</v>
      </c>
      <c r="B18" s="17">
        <f>SUM(B13:B17)</f>
        <v>6.5065224625220743</v>
      </c>
      <c r="C18" s="17">
        <f>SUM(C13:C17)</f>
        <v>4.2520242312303882</v>
      </c>
      <c r="D18" s="17">
        <f>SUM(D13:D17)</f>
        <v>5.2972639152115253</v>
      </c>
      <c r="E18" s="17">
        <f>SUM(E13:E17)</f>
        <v>3.996983341027184</v>
      </c>
      <c r="F18" s="17">
        <f>SUM(F13:F17)</f>
        <v>6.4870326087193941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</row>
    <row r="19" spans="1:22" ht="15.75" customHeight="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</row>
    <row r="20" spans="1:22" ht="15.75" customHeight="1" x14ac:dyDescent="0.2">
      <c r="A20" s="7" t="s">
        <v>11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10"/>
      <c r="V20" s="10"/>
    </row>
    <row r="21" spans="1:22" ht="15.75" customHeight="1" x14ac:dyDescent="0.2">
      <c r="A21" s="11"/>
      <c r="B21" s="11"/>
      <c r="C21" s="11"/>
      <c r="D21" s="11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</row>
    <row r="22" spans="1:22" ht="39" customHeight="1" x14ac:dyDescent="0.2">
      <c r="A22" s="25" t="s">
        <v>2</v>
      </c>
      <c r="B22" s="26" t="s">
        <v>12</v>
      </c>
      <c r="C22" s="26" t="s">
        <v>13</v>
      </c>
      <c r="D22" s="26" t="s">
        <v>14</v>
      </c>
      <c r="E22" s="26" t="s">
        <v>15</v>
      </c>
      <c r="F22" s="26" t="s">
        <v>16</v>
      </c>
      <c r="G22" s="10"/>
      <c r="H22" s="25" t="s">
        <v>2</v>
      </c>
      <c r="I22" s="26" t="s">
        <v>12</v>
      </c>
      <c r="J22" s="26" t="s">
        <v>13</v>
      </c>
      <c r="K22" s="26" t="s">
        <v>14</v>
      </c>
      <c r="L22" s="26" t="s">
        <v>15</v>
      </c>
      <c r="M22" s="26" t="s">
        <v>16</v>
      </c>
      <c r="N22" s="10"/>
      <c r="O22" s="25" t="s">
        <v>2</v>
      </c>
      <c r="P22" s="26" t="s">
        <v>12</v>
      </c>
      <c r="Q22" s="26" t="s">
        <v>13</v>
      </c>
      <c r="R22" s="26" t="s">
        <v>14</v>
      </c>
      <c r="S22" s="26" t="s">
        <v>15</v>
      </c>
      <c r="T22" s="26" t="s">
        <v>16</v>
      </c>
      <c r="U22" s="10"/>
      <c r="V22" s="10"/>
    </row>
    <row r="23" spans="1:22" ht="15.75" customHeight="1" x14ac:dyDescent="0.2">
      <c r="A23" s="26" t="s">
        <v>12</v>
      </c>
      <c r="B23" s="27">
        <v>1</v>
      </c>
      <c r="C23" s="27">
        <f>1/B24</f>
        <v>0.14285714285714285</v>
      </c>
      <c r="D23" s="27">
        <f>1/B25</f>
        <v>0.1111111111111111</v>
      </c>
      <c r="E23" s="27">
        <f>1/B26</f>
        <v>0.33333333333333331</v>
      </c>
      <c r="F23" s="27">
        <f>1/B27</f>
        <v>0.1111111111111111</v>
      </c>
      <c r="G23" s="10"/>
      <c r="H23" s="26" t="s">
        <v>12</v>
      </c>
      <c r="I23" s="16">
        <v>1</v>
      </c>
      <c r="J23" s="16">
        <v>3</v>
      </c>
      <c r="K23" s="16">
        <f>1/I25</f>
        <v>0.16666666666666666</v>
      </c>
      <c r="L23" s="16">
        <f>1/I26</f>
        <v>0.2</v>
      </c>
      <c r="M23" s="16">
        <f>1/I27</f>
        <v>0.16666666666666666</v>
      </c>
      <c r="N23" s="10"/>
      <c r="O23" s="26" t="s">
        <v>12</v>
      </c>
      <c r="P23" s="16">
        <v>1</v>
      </c>
      <c r="Q23" s="16">
        <f>1/P24</f>
        <v>0.25</v>
      </c>
      <c r="R23" s="16">
        <f>1/P25</f>
        <v>0.2</v>
      </c>
      <c r="S23" s="16">
        <v>4</v>
      </c>
      <c r="T23" s="16">
        <f>1/P27</f>
        <v>0.2</v>
      </c>
      <c r="U23" s="10"/>
      <c r="V23" s="10"/>
    </row>
    <row r="24" spans="1:22" ht="15.75" customHeight="1" x14ac:dyDescent="0.2">
      <c r="A24" s="26" t="s">
        <v>13</v>
      </c>
      <c r="B24" s="27">
        <v>7</v>
      </c>
      <c r="C24" s="27">
        <v>1</v>
      </c>
      <c r="D24" s="27">
        <f>1/C25</f>
        <v>0.25</v>
      </c>
      <c r="E24" s="27">
        <v>4</v>
      </c>
      <c r="F24" s="27">
        <f>1/C27</f>
        <v>0.5</v>
      </c>
      <c r="G24" s="10"/>
      <c r="H24" s="26" t="s">
        <v>13</v>
      </c>
      <c r="I24" s="16">
        <f>1/J23</f>
        <v>0.33333333333333331</v>
      </c>
      <c r="J24" s="16">
        <v>1</v>
      </c>
      <c r="K24" s="16">
        <f>1/J25</f>
        <v>0.125</v>
      </c>
      <c r="L24" s="16">
        <f>1/J26</f>
        <v>0.16666666666666666</v>
      </c>
      <c r="M24" s="16">
        <f>1/J27</f>
        <v>0.1111111111111111</v>
      </c>
      <c r="N24" s="10"/>
      <c r="O24" s="26" t="s">
        <v>13</v>
      </c>
      <c r="P24" s="16">
        <v>4</v>
      </c>
      <c r="Q24" s="16">
        <v>1</v>
      </c>
      <c r="R24" s="16">
        <f>1/Q25</f>
        <v>0.33333333333333331</v>
      </c>
      <c r="S24" s="16">
        <v>7</v>
      </c>
      <c r="T24" s="16">
        <f>1/Q27</f>
        <v>0.33333333333333331</v>
      </c>
      <c r="U24" s="10"/>
      <c r="V24" s="10"/>
    </row>
    <row r="25" spans="1:22" ht="15.75" customHeight="1" x14ac:dyDescent="0.2">
      <c r="A25" s="26" t="s">
        <v>14</v>
      </c>
      <c r="B25" s="27">
        <v>9</v>
      </c>
      <c r="C25" s="27">
        <v>4</v>
      </c>
      <c r="D25" s="27">
        <v>1</v>
      </c>
      <c r="E25" s="27">
        <v>6</v>
      </c>
      <c r="F25" s="27">
        <v>3</v>
      </c>
      <c r="G25" s="10"/>
      <c r="H25" s="26" t="s">
        <v>14</v>
      </c>
      <c r="I25" s="16">
        <v>6</v>
      </c>
      <c r="J25" s="16">
        <v>8</v>
      </c>
      <c r="K25" s="16">
        <v>1</v>
      </c>
      <c r="L25" s="16">
        <v>2</v>
      </c>
      <c r="M25" s="16">
        <f>1/K27</f>
        <v>0.5</v>
      </c>
      <c r="N25" s="10"/>
      <c r="O25" s="26" t="s">
        <v>14</v>
      </c>
      <c r="P25" s="16">
        <v>5</v>
      </c>
      <c r="Q25" s="16">
        <v>3</v>
      </c>
      <c r="R25" s="16">
        <v>1</v>
      </c>
      <c r="S25" s="16">
        <v>7</v>
      </c>
      <c r="T25" s="16">
        <f>1/R27</f>
        <v>0.5</v>
      </c>
      <c r="U25" s="10"/>
      <c r="V25" s="10"/>
    </row>
    <row r="26" spans="1:22" ht="15.75" customHeight="1" x14ac:dyDescent="0.2">
      <c r="A26" s="26" t="s">
        <v>15</v>
      </c>
      <c r="B26" s="27">
        <v>3</v>
      </c>
      <c r="C26" s="27">
        <f>1/E24</f>
        <v>0.25</v>
      </c>
      <c r="D26" s="27">
        <f>1/E25</f>
        <v>0.16666666666666666</v>
      </c>
      <c r="E26" s="27">
        <v>1</v>
      </c>
      <c r="F26" s="27">
        <f>1/E27</f>
        <v>0.25</v>
      </c>
      <c r="G26" s="10"/>
      <c r="H26" s="26" t="s">
        <v>15</v>
      </c>
      <c r="I26" s="16">
        <v>5</v>
      </c>
      <c r="J26" s="16">
        <v>6</v>
      </c>
      <c r="K26" s="16">
        <f>1/L25</f>
        <v>0.5</v>
      </c>
      <c r="L26" s="16">
        <v>1</v>
      </c>
      <c r="M26" s="16">
        <f>1/L27</f>
        <v>0.25</v>
      </c>
      <c r="N26" s="10"/>
      <c r="O26" s="26" t="s">
        <v>15</v>
      </c>
      <c r="P26" s="16">
        <f>1/S23</f>
        <v>0.25</v>
      </c>
      <c r="Q26" s="16">
        <f>1/S24</f>
        <v>0.14285714285714285</v>
      </c>
      <c r="R26" s="16">
        <f>1/S25</f>
        <v>0.14285714285714285</v>
      </c>
      <c r="S26" s="16">
        <v>1</v>
      </c>
      <c r="T26" s="16">
        <f>1/S27</f>
        <v>0.1111111111111111</v>
      </c>
      <c r="U26" s="10"/>
      <c r="V26" s="10"/>
    </row>
    <row r="27" spans="1:22" ht="15.75" customHeight="1" x14ac:dyDescent="0.2">
      <c r="A27" s="26" t="s">
        <v>16</v>
      </c>
      <c r="B27" s="27">
        <v>9</v>
      </c>
      <c r="C27" s="27">
        <v>2</v>
      </c>
      <c r="D27" s="27">
        <f>1/F25</f>
        <v>0.33333333333333331</v>
      </c>
      <c r="E27" s="27">
        <v>4</v>
      </c>
      <c r="F27" s="27">
        <v>1</v>
      </c>
      <c r="G27" s="10"/>
      <c r="H27" s="26" t="s">
        <v>16</v>
      </c>
      <c r="I27" s="16">
        <v>6</v>
      </c>
      <c r="J27" s="16">
        <v>9</v>
      </c>
      <c r="K27" s="16">
        <v>2</v>
      </c>
      <c r="L27" s="16">
        <v>4</v>
      </c>
      <c r="M27" s="16">
        <v>1</v>
      </c>
      <c r="N27" s="10"/>
      <c r="O27" s="26" t="s">
        <v>16</v>
      </c>
      <c r="P27" s="16">
        <v>5</v>
      </c>
      <c r="Q27" s="16">
        <v>3</v>
      </c>
      <c r="R27" s="16">
        <v>2</v>
      </c>
      <c r="S27" s="16">
        <v>9</v>
      </c>
      <c r="T27" s="16">
        <v>1</v>
      </c>
      <c r="U27" s="10"/>
      <c r="V27" s="10"/>
    </row>
    <row r="28" spans="1:22" ht="15.75" customHeight="1" x14ac:dyDescent="0.2">
      <c r="A28" s="17"/>
      <c r="B28" s="17"/>
      <c r="C28" s="17"/>
      <c r="D28" s="17"/>
      <c r="E28" s="17"/>
      <c r="F28" s="17"/>
      <c r="G28" s="10"/>
      <c r="H28" s="11"/>
      <c r="I28" s="11"/>
      <c r="J28" s="11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</row>
    <row r="29" spans="1:22" ht="15.75" customHeight="1" x14ac:dyDescent="0.2">
      <c r="A29" s="7" t="s">
        <v>17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10"/>
      <c r="V29" s="10"/>
    </row>
    <row r="30" spans="1:22" ht="15.75" customHeight="1" x14ac:dyDescent="0.2">
      <c r="A30" s="10"/>
      <c r="B30" s="10"/>
      <c r="C30" s="10"/>
      <c r="D30" s="10"/>
      <c r="E30" s="10"/>
      <c r="F30" s="10"/>
      <c r="G30" s="10"/>
      <c r="H30" s="6" t="s">
        <v>18</v>
      </c>
      <c r="I30" s="6"/>
      <c r="J30" s="6"/>
      <c r="K30" s="6"/>
      <c r="L30" s="6"/>
      <c r="M30" s="10"/>
      <c r="N30" s="10"/>
      <c r="O30" s="10"/>
      <c r="P30" s="10"/>
      <c r="Q30" s="10"/>
      <c r="R30" s="10"/>
      <c r="S30" s="10"/>
      <c r="T30" s="10"/>
      <c r="U30" s="10"/>
      <c r="V30" s="10"/>
    </row>
    <row r="31" spans="1:22" ht="33.75" customHeight="1" x14ac:dyDescent="0.2">
      <c r="A31" s="28" t="s">
        <v>2</v>
      </c>
      <c r="B31" s="26" t="s">
        <v>12</v>
      </c>
      <c r="C31" s="26" t="s">
        <v>13</v>
      </c>
      <c r="D31" s="26" t="s">
        <v>14</v>
      </c>
      <c r="E31" s="26" t="s">
        <v>15</v>
      </c>
      <c r="F31" s="26" t="s">
        <v>16</v>
      </c>
      <c r="G31" s="10"/>
      <c r="H31" s="29" t="s">
        <v>19</v>
      </c>
      <c r="I31" s="29" t="s">
        <v>20</v>
      </c>
      <c r="J31" s="30" t="s">
        <v>21</v>
      </c>
      <c r="K31" s="29" t="s">
        <v>22</v>
      </c>
      <c r="L31" s="31" t="s">
        <v>23</v>
      </c>
      <c r="M31" s="10"/>
      <c r="N31" s="18" t="s">
        <v>24</v>
      </c>
      <c r="O31" s="26" t="s">
        <v>12</v>
      </c>
      <c r="P31" s="26" t="s">
        <v>13</v>
      </c>
      <c r="Q31" s="26" t="s">
        <v>14</v>
      </c>
      <c r="R31" s="26" t="s">
        <v>15</v>
      </c>
      <c r="S31" s="26" t="s">
        <v>16</v>
      </c>
      <c r="T31" s="21" t="s">
        <v>8</v>
      </c>
      <c r="U31" s="21" t="s">
        <v>9</v>
      </c>
      <c r="V31" s="10"/>
    </row>
    <row r="32" spans="1:22" ht="31.5" customHeight="1" x14ac:dyDescent="0.2">
      <c r="A32" s="26" t="s">
        <v>12</v>
      </c>
      <c r="B32" s="27">
        <f t="shared" ref="B32:F36" si="1">POWER(B23*I23*P23,1/3)</f>
        <v>1</v>
      </c>
      <c r="C32" s="27">
        <f t="shared" si="1"/>
        <v>0.47495712579649829</v>
      </c>
      <c r="D32" s="27">
        <f t="shared" si="1"/>
        <v>0.15471962778709264</v>
      </c>
      <c r="E32" s="27">
        <f t="shared" si="1"/>
        <v>0.64365958973708648</v>
      </c>
      <c r="F32" s="27">
        <f t="shared" si="1"/>
        <v>0.15471962778709264</v>
      </c>
      <c r="G32" s="10"/>
      <c r="H32" s="16">
        <v>1</v>
      </c>
      <c r="I32" s="16">
        <f t="array" ref="I32:I36">MMULT(B32:F36,H32:H36)/MMULT(TRANSPOSE(H32:H36),MMULT(B32:F36,H32:H36))</f>
        <v>5.2584747205440666E-2</v>
      </c>
      <c r="J32" s="16">
        <f t="array" ref="J32">MMULT(TRANSPOSE(H32:H36),MMULT(B32:F36,I32:I36))</f>
        <v>5.0868340149412141</v>
      </c>
      <c r="K32" s="16">
        <f>(J32-5)/(5-1)</f>
        <v>2.170850373530353E-2</v>
      </c>
      <c r="L32" s="32">
        <f>K32/1.12</f>
        <v>1.9382592620806723E-2</v>
      </c>
      <c r="M32" s="10"/>
      <c r="N32" s="26" t="s">
        <v>12</v>
      </c>
      <c r="O32" s="27">
        <f>B32/$B$37</f>
        <v>5.6864456586700286E-2</v>
      </c>
      <c r="P32" s="27">
        <f>C32/$C$37</f>
        <v>4.5528927881856716E-2</v>
      </c>
      <c r="Q32" s="27">
        <f>D32/$D$37</f>
        <v>5.7259185091076664E-2</v>
      </c>
      <c r="R32" s="27">
        <f>E32/$E$37</f>
        <v>4.9758154793600323E-2</v>
      </c>
      <c r="S32" s="27">
        <f>F32/$F$37</f>
        <v>6.1430013877722588E-2</v>
      </c>
      <c r="T32" s="10">
        <f>AVERAGE(O32:S32)</f>
        <v>5.4168147646191309E-2</v>
      </c>
      <c r="U32" s="24">
        <f>AVERAGE(O32:S32)</f>
        <v>5.4168147646191309E-2</v>
      </c>
      <c r="V32" s="10"/>
    </row>
    <row r="33" spans="1:22" ht="15.75" customHeight="1" x14ac:dyDescent="0.2">
      <c r="A33" s="26" t="s">
        <v>13</v>
      </c>
      <c r="B33" s="27">
        <f t="shared" si="1"/>
        <v>2.1054531992187928</v>
      </c>
      <c r="C33" s="27">
        <f t="shared" si="1"/>
        <v>1</v>
      </c>
      <c r="D33" s="27">
        <f t="shared" si="1"/>
        <v>0.21839511618407476</v>
      </c>
      <c r="E33" s="27">
        <f t="shared" si="1"/>
        <v>1.6710993116548616</v>
      </c>
      <c r="F33" s="27">
        <f t="shared" si="1"/>
        <v>0.26456684199469988</v>
      </c>
      <c r="G33" s="10"/>
      <c r="H33" s="16">
        <v>1</v>
      </c>
      <c r="I33" s="16">
        <v>0.11390603926329498</v>
      </c>
      <c r="J33" s="16"/>
      <c r="K33" s="16"/>
      <c r="L33" s="33"/>
      <c r="M33" s="10"/>
      <c r="N33" s="26" t="s">
        <v>13</v>
      </c>
      <c r="O33" s="27">
        <f>B33/$B$37</f>
        <v>0.11972545204230627</v>
      </c>
      <c r="P33" s="27">
        <f>C33/$C$37</f>
        <v>9.5859026865856928E-2</v>
      </c>
      <c r="Q33" s="27">
        <f>D33/$D$37</f>
        <v>8.0824434232605866E-2</v>
      </c>
      <c r="R33" s="27">
        <f>E33/$E$37</f>
        <v>0.12918446264238195</v>
      </c>
      <c r="S33" s="27">
        <f>F33/$F$37</f>
        <v>0.10504384613492129</v>
      </c>
      <c r="T33" s="10">
        <f>AVERAGE(O33:S33)</f>
        <v>0.10612744438361447</v>
      </c>
      <c r="U33" s="24">
        <f>AVERAGE(O33:S33)</f>
        <v>0.10612744438361447</v>
      </c>
      <c r="V33" s="10"/>
    </row>
    <row r="34" spans="1:22" ht="15.75" customHeight="1" x14ac:dyDescent="0.2">
      <c r="A34" s="26" t="s">
        <v>14</v>
      </c>
      <c r="B34" s="27">
        <f t="shared" si="1"/>
        <v>6.463304070095651</v>
      </c>
      <c r="C34" s="27">
        <f t="shared" si="1"/>
        <v>4.5788569702133266</v>
      </c>
      <c r="D34" s="27">
        <f t="shared" si="1"/>
        <v>1</v>
      </c>
      <c r="E34" s="27">
        <f t="shared" si="1"/>
        <v>4.379519139887889</v>
      </c>
      <c r="F34" s="27">
        <f t="shared" si="1"/>
        <v>0.90856029641606983</v>
      </c>
      <c r="G34" s="10"/>
      <c r="H34" s="16">
        <v>1</v>
      </c>
      <c r="I34" s="16">
        <v>0.37532343789274952</v>
      </c>
      <c r="J34" s="16"/>
      <c r="K34" s="16"/>
      <c r="L34" s="33"/>
      <c r="M34" s="10"/>
      <c r="N34" s="26" t="s">
        <v>14</v>
      </c>
      <c r="O34" s="27">
        <f>B34/$B$37</f>
        <v>0.36753227370059743</v>
      </c>
      <c r="P34" s="27">
        <f>C34/$C$37</f>
        <v>0.4389247733225955</v>
      </c>
      <c r="Q34" s="27">
        <f>D34/$D$37</f>
        <v>0.370083524049516</v>
      </c>
      <c r="R34" s="27">
        <f>E34/$E$37</f>
        <v>0.33855906873552322</v>
      </c>
      <c r="S34" s="27">
        <f>F34/$F$37</f>
        <v>0.36073556028967557</v>
      </c>
      <c r="T34" s="10">
        <f>AVERAGE(O34:S34)</f>
        <v>0.37516704001958151</v>
      </c>
      <c r="U34" s="24">
        <f>AVERAGE(O34:S34)</f>
        <v>0.37516704001958151</v>
      </c>
      <c r="V34" s="10"/>
    </row>
    <row r="35" spans="1:22" ht="15.75" customHeight="1" x14ac:dyDescent="0.2">
      <c r="A35" s="26" t="s">
        <v>15</v>
      </c>
      <c r="B35" s="27">
        <f t="shared" si="1"/>
        <v>1.5536162529769293</v>
      </c>
      <c r="C35" s="27">
        <f t="shared" si="1"/>
        <v>0.59840848058857543</v>
      </c>
      <c r="D35" s="27">
        <f t="shared" si="1"/>
        <v>0.22833557019814713</v>
      </c>
      <c r="E35" s="27">
        <f t="shared" si="1"/>
        <v>1</v>
      </c>
      <c r="F35" s="27">
        <f t="shared" si="1"/>
        <v>0.19078570709222198</v>
      </c>
      <c r="G35" s="10"/>
      <c r="H35" s="16">
        <v>1</v>
      </c>
      <c r="I35" s="16">
        <v>7.7340807810496306E-2</v>
      </c>
      <c r="J35" s="16"/>
      <c r="K35" s="16"/>
      <c r="L35" s="33"/>
      <c r="M35" s="10"/>
      <c r="N35" s="26" t="s">
        <v>15</v>
      </c>
      <c r="O35" s="27">
        <f>B35/$B$37</f>
        <v>8.834554396979856E-2</v>
      </c>
      <c r="P35" s="27">
        <f>C35/$C$37</f>
        <v>5.7362854617496871E-2</v>
      </c>
      <c r="Q35" s="27">
        <f>D35/$D$37</f>
        <v>8.4503232484785931E-2</v>
      </c>
      <c r="R35" s="27">
        <f>E35/$E$37</f>
        <v>7.730507800547938E-2</v>
      </c>
      <c r="S35" s="27">
        <f>F35/$F$37</f>
        <v>7.5749720975763893E-2</v>
      </c>
      <c r="T35" s="10">
        <f>AVERAGE(O35:S35)</f>
        <v>7.6653286010664928E-2</v>
      </c>
      <c r="U35" s="24">
        <f>AVERAGE(O35:S35)</f>
        <v>7.6653286010664928E-2</v>
      </c>
      <c r="V35" s="10"/>
    </row>
    <row r="36" spans="1:22" ht="15.75" customHeight="1" x14ac:dyDescent="0.2">
      <c r="A36" s="26" t="s">
        <v>16</v>
      </c>
      <c r="B36" s="27">
        <f t="shared" si="1"/>
        <v>6.463304070095651</v>
      </c>
      <c r="C36" s="27">
        <f t="shared" si="1"/>
        <v>3.7797631496846198</v>
      </c>
      <c r="D36" s="27">
        <f t="shared" si="1"/>
        <v>1.1006424162982089</v>
      </c>
      <c r="E36" s="27">
        <f t="shared" si="1"/>
        <v>5.2414827884177937</v>
      </c>
      <c r="F36" s="27">
        <f t="shared" si="1"/>
        <v>1</v>
      </c>
      <c r="G36" s="10"/>
      <c r="H36" s="33">
        <v>1</v>
      </c>
      <c r="I36" s="33">
        <v>0.38084496782801847</v>
      </c>
      <c r="J36" s="33"/>
      <c r="K36" s="33"/>
      <c r="L36" s="33"/>
      <c r="M36" s="10"/>
      <c r="N36" s="26" t="s">
        <v>16</v>
      </c>
      <c r="O36" s="27">
        <f>B36/$B$37</f>
        <v>0.36753227370059743</v>
      </c>
      <c r="P36" s="27">
        <f>C36/$C$37</f>
        <v>0.36232441731219395</v>
      </c>
      <c r="Q36" s="27">
        <f>D36/$D$37</f>
        <v>0.40732962414201557</v>
      </c>
      <c r="R36" s="27">
        <f>E36/$E$37</f>
        <v>0.40519323582301509</v>
      </c>
      <c r="S36" s="27">
        <f>F36/$F$37</f>
        <v>0.39704085872191669</v>
      </c>
      <c r="T36" s="10">
        <f>AVERAGE(O36:S36)</f>
        <v>0.38788408193994772</v>
      </c>
      <c r="U36" s="24">
        <f>AVERAGE(O36:S36)</f>
        <v>0.38788408193994772</v>
      </c>
      <c r="V36" s="10"/>
    </row>
    <row r="37" spans="1:22" ht="15.75" customHeight="1" x14ac:dyDescent="0.2">
      <c r="A37" s="17" t="s">
        <v>10</v>
      </c>
      <c r="B37" s="17">
        <f>SUM(B32:B36)</f>
        <v>17.585677592387025</v>
      </c>
      <c r="C37" s="17">
        <f>SUM(C32:C36)</f>
        <v>10.43198572628302</v>
      </c>
      <c r="D37" s="17">
        <f>SUM(D32:D36)</f>
        <v>2.7020927304675233</v>
      </c>
      <c r="E37" s="17">
        <f>SUM(E32:E36)</f>
        <v>12.935760829697632</v>
      </c>
      <c r="F37" s="17">
        <f>SUM(F32:F36)</f>
        <v>2.5186324732900842</v>
      </c>
      <c r="G37" s="10"/>
      <c r="H37" s="10"/>
      <c r="I37" s="10"/>
      <c r="J37" s="10"/>
      <c r="K37" s="10"/>
      <c r="L37" s="10"/>
      <c r="M37" s="10"/>
      <c r="N37" s="17"/>
      <c r="O37" s="17"/>
      <c r="P37" s="17"/>
      <c r="Q37" s="17"/>
      <c r="R37" s="17"/>
      <c r="S37" s="17"/>
      <c r="T37" s="10"/>
      <c r="U37" s="10"/>
      <c r="V37" s="10"/>
    </row>
    <row r="38" spans="1:22" ht="15.75" customHeight="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</row>
    <row r="39" spans="1:22" ht="15.75" customHeight="1" x14ac:dyDescent="0.2">
      <c r="A39" s="5" t="s">
        <v>25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34"/>
      <c r="V39" s="10"/>
    </row>
    <row r="40" spans="1:22" ht="15.75" customHeight="1" x14ac:dyDescent="0.2">
      <c r="A40" s="35"/>
      <c r="B40" s="35"/>
      <c r="C40" s="35"/>
      <c r="D40" s="35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10"/>
    </row>
    <row r="41" spans="1:22" ht="31.5" customHeight="1" x14ac:dyDescent="0.2">
      <c r="A41" s="25" t="s">
        <v>3</v>
      </c>
      <c r="B41" s="26" t="s">
        <v>12</v>
      </c>
      <c r="C41" s="26" t="s">
        <v>13</v>
      </c>
      <c r="D41" s="26" t="s">
        <v>14</v>
      </c>
      <c r="E41" s="26" t="s">
        <v>15</v>
      </c>
      <c r="F41" s="26" t="s">
        <v>16</v>
      </c>
      <c r="G41" s="34"/>
      <c r="H41" s="25" t="s">
        <v>3</v>
      </c>
      <c r="I41" s="26" t="s">
        <v>12</v>
      </c>
      <c r="J41" s="26" t="s">
        <v>13</v>
      </c>
      <c r="K41" s="26" t="s">
        <v>14</v>
      </c>
      <c r="L41" s="26" t="s">
        <v>15</v>
      </c>
      <c r="M41" s="26" t="s">
        <v>16</v>
      </c>
      <c r="N41" s="34"/>
      <c r="O41" s="25" t="s">
        <v>3</v>
      </c>
      <c r="P41" s="26" t="s">
        <v>12</v>
      </c>
      <c r="Q41" s="26" t="s">
        <v>13</v>
      </c>
      <c r="R41" s="26" t="s">
        <v>14</v>
      </c>
      <c r="S41" s="26" t="s">
        <v>15</v>
      </c>
      <c r="T41" s="26" t="s">
        <v>16</v>
      </c>
      <c r="U41" s="34"/>
      <c r="V41" s="10"/>
    </row>
    <row r="42" spans="1:22" ht="15.75" customHeight="1" x14ac:dyDescent="0.25">
      <c r="A42" s="26" t="s">
        <v>12</v>
      </c>
      <c r="B42" s="36">
        <v>1</v>
      </c>
      <c r="C42" s="36">
        <f>1/B43</f>
        <v>0.2</v>
      </c>
      <c r="D42" s="36">
        <f>1/B44</f>
        <v>0.2</v>
      </c>
      <c r="E42" s="36">
        <v>3</v>
      </c>
      <c r="F42" s="36">
        <f>1/B46</f>
        <v>0.16666666666666666</v>
      </c>
      <c r="G42" s="34"/>
      <c r="H42" s="26" t="s">
        <v>12</v>
      </c>
      <c r="I42" s="16">
        <v>1</v>
      </c>
      <c r="J42" s="16">
        <f>1/I43</f>
        <v>0.2</v>
      </c>
      <c r="K42" s="16">
        <f>1/I44</f>
        <v>0.2</v>
      </c>
      <c r="L42" s="16">
        <v>3</v>
      </c>
      <c r="M42" s="16">
        <f>1/I46</f>
        <v>0.2</v>
      </c>
      <c r="N42" s="34"/>
      <c r="O42" s="26" t="s">
        <v>12</v>
      </c>
      <c r="P42" s="36">
        <v>1</v>
      </c>
      <c r="Q42" s="36">
        <v>1</v>
      </c>
      <c r="R42" s="36">
        <f>1/P44</f>
        <v>0.5</v>
      </c>
      <c r="S42" s="36">
        <v>7</v>
      </c>
      <c r="T42" s="36">
        <v>5</v>
      </c>
      <c r="U42" s="34"/>
      <c r="V42" s="10"/>
    </row>
    <row r="43" spans="1:22" ht="15.75" customHeight="1" x14ac:dyDescent="0.25">
      <c r="A43" s="26" t="s">
        <v>13</v>
      </c>
      <c r="B43" s="36">
        <v>5</v>
      </c>
      <c r="C43" s="36">
        <v>1</v>
      </c>
      <c r="D43" s="36">
        <v>3</v>
      </c>
      <c r="E43" s="36">
        <v>7</v>
      </c>
      <c r="F43" s="36">
        <f>1/C46</f>
        <v>0.5</v>
      </c>
      <c r="G43" s="34"/>
      <c r="H43" s="26" t="s">
        <v>13</v>
      </c>
      <c r="I43" s="16">
        <v>5</v>
      </c>
      <c r="J43" s="16">
        <v>1</v>
      </c>
      <c r="K43" s="16">
        <f>1/J44</f>
        <v>0.5</v>
      </c>
      <c r="L43" s="16">
        <v>6</v>
      </c>
      <c r="M43" s="16">
        <f>1/J46</f>
        <v>0.33333333333333331</v>
      </c>
      <c r="N43" s="34"/>
      <c r="O43" s="26" t="s">
        <v>13</v>
      </c>
      <c r="P43" s="36">
        <v>1</v>
      </c>
      <c r="Q43" s="36">
        <v>1</v>
      </c>
      <c r="R43" s="36">
        <f>1/Q44</f>
        <v>0.5</v>
      </c>
      <c r="S43" s="36">
        <v>7</v>
      </c>
      <c r="T43" s="36">
        <v>5</v>
      </c>
      <c r="U43" s="34"/>
      <c r="V43" s="10"/>
    </row>
    <row r="44" spans="1:22" ht="15.75" customHeight="1" x14ac:dyDescent="0.25">
      <c r="A44" s="26" t="s">
        <v>14</v>
      </c>
      <c r="B44" s="36">
        <v>5</v>
      </c>
      <c r="C44" s="36">
        <f>1/D43</f>
        <v>0.33333333333333331</v>
      </c>
      <c r="D44" s="36">
        <v>1</v>
      </c>
      <c r="E44" s="36">
        <v>7</v>
      </c>
      <c r="F44" s="36">
        <f>1/D46</f>
        <v>0.33333333333333331</v>
      </c>
      <c r="G44" s="34"/>
      <c r="H44" s="26" t="s">
        <v>14</v>
      </c>
      <c r="I44" s="16">
        <v>5</v>
      </c>
      <c r="J44" s="16">
        <v>2</v>
      </c>
      <c r="K44" s="16">
        <v>1</v>
      </c>
      <c r="L44" s="16">
        <v>7</v>
      </c>
      <c r="M44" s="16">
        <f>1/K46</f>
        <v>0.5</v>
      </c>
      <c r="N44" s="34"/>
      <c r="O44" s="26" t="s">
        <v>14</v>
      </c>
      <c r="P44" s="36">
        <v>2</v>
      </c>
      <c r="Q44" s="36">
        <v>2</v>
      </c>
      <c r="R44" s="36">
        <v>1</v>
      </c>
      <c r="S44" s="36">
        <v>7</v>
      </c>
      <c r="T44" s="36">
        <v>5</v>
      </c>
      <c r="U44" s="34"/>
      <c r="V44" s="10"/>
    </row>
    <row r="45" spans="1:22" ht="15.75" customHeight="1" x14ac:dyDescent="0.25">
      <c r="A45" s="26" t="s">
        <v>15</v>
      </c>
      <c r="B45" s="36">
        <f>1/E42</f>
        <v>0.33333333333333331</v>
      </c>
      <c r="C45" s="36">
        <f>1/E43</f>
        <v>0.14285714285714285</v>
      </c>
      <c r="D45" s="36">
        <f>1/E44</f>
        <v>0.14285714285714285</v>
      </c>
      <c r="E45" s="36">
        <v>1</v>
      </c>
      <c r="F45" s="36">
        <f>1/E46</f>
        <v>0.125</v>
      </c>
      <c r="G45" s="34"/>
      <c r="H45" s="26" t="s">
        <v>15</v>
      </c>
      <c r="I45" s="16">
        <f>1/L42</f>
        <v>0.33333333333333331</v>
      </c>
      <c r="J45" s="16">
        <f>1/L43</f>
        <v>0.16666666666666666</v>
      </c>
      <c r="K45" s="16">
        <f>1/L44</f>
        <v>0.14285714285714285</v>
      </c>
      <c r="L45" s="16">
        <v>1</v>
      </c>
      <c r="M45" s="16">
        <f>1/L46</f>
        <v>0.1111111111111111</v>
      </c>
      <c r="N45" s="34"/>
      <c r="O45" s="26" t="s">
        <v>15</v>
      </c>
      <c r="P45" s="36">
        <f>1/S42</f>
        <v>0.14285714285714285</v>
      </c>
      <c r="Q45" s="36">
        <f>1/S43</f>
        <v>0.14285714285714285</v>
      </c>
      <c r="R45" s="36">
        <f>1/S44</f>
        <v>0.14285714285714285</v>
      </c>
      <c r="S45" s="36">
        <v>1</v>
      </c>
      <c r="T45" s="36">
        <f>1/S46</f>
        <v>0.2</v>
      </c>
      <c r="U45" s="34"/>
      <c r="V45" s="10"/>
    </row>
    <row r="46" spans="1:22" ht="15.75" customHeight="1" x14ac:dyDescent="0.25">
      <c r="A46" s="26" t="s">
        <v>16</v>
      </c>
      <c r="B46" s="36">
        <v>6</v>
      </c>
      <c r="C46" s="36">
        <v>2</v>
      </c>
      <c r="D46" s="36">
        <v>3</v>
      </c>
      <c r="E46" s="36">
        <v>8</v>
      </c>
      <c r="F46" s="36">
        <v>1</v>
      </c>
      <c r="G46" s="34"/>
      <c r="H46" s="26" t="s">
        <v>16</v>
      </c>
      <c r="I46" s="16">
        <v>5</v>
      </c>
      <c r="J46" s="16">
        <v>3</v>
      </c>
      <c r="K46" s="16">
        <v>2</v>
      </c>
      <c r="L46" s="16">
        <v>9</v>
      </c>
      <c r="M46" s="16">
        <v>1</v>
      </c>
      <c r="N46" s="34"/>
      <c r="O46" s="26" t="s">
        <v>16</v>
      </c>
      <c r="P46" s="36">
        <f>1/T42</f>
        <v>0.2</v>
      </c>
      <c r="Q46" s="36">
        <f>1/T43</f>
        <v>0.2</v>
      </c>
      <c r="R46" s="36">
        <f>1/T44</f>
        <v>0.2</v>
      </c>
      <c r="S46" s="36">
        <v>5</v>
      </c>
      <c r="T46" s="36">
        <v>1</v>
      </c>
      <c r="U46" s="34"/>
      <c r="V46" s="10"/>
    </row>
    <row r="47" spans="1:22" ht="15.75" customHeight="1" x14ac:dyDescent="0.2">
      <c r="A47" s="34"/>
      <c r="B47" s="34"/>
      <c r="C47" s="34"/>
      <c r="D47" s="34"/>
      <c r="E47" s="34"/>
      <c r="F47" s="34"/>
      <c r="G47" s="34"/>
      <c r="H47" s="35"/>
      <c r="I47" s="35"/>
      <c r="J47" s="35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10"/>
    </row>
    <row r="48" spans="1:22" ht="15.75" customHeight="1" x14ac:dyDescent="0.2">
      <c r="A48" s="5" t="s">
        <v>26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34"/>
      <c r="V48" s="10"/>
    </row>
    <row r="49" spans="1:22" ht="15.75" customHeight="1" x14ac:dyDescent="0.2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10"/>
    </row>
    <row r="50" spans="1:22" ht="51" customHeight="1" x14ac:dyDescent="0.2">
      <c r="A50" s="28" t="s">
        <v>3</v>
      </c>
      <c r="B50" s="26" t="s">
        <v>12</v>
      </c>
      <c r="C50" s="26" t="s">
        <v>13</v>
      </c>
      <c r="D50" s="26" t="s">
        <v>14</v>
      </c>
      <c r="E50" s="26" t="s">
        <v>15</v>
      </c>
      <c r="F50" s="26" t="s">
        <v>16</v>
      </c>
      <c r="G50" s="34"/>
      <c r="H50" s="37" t="s">
        <v>19</v>
      </c>
      <c r="I50" s="37" t="s">
        <v>20</v>
      </c>
      <c r="J50" s="31" t="s">
        <v>21</v>
      </c>
      <c r="K50" s="37" t="s">
        <v>22</v>
      </c>
      <c r="L50" s="31" t="s">
        <v>23</v>
      </c>
      <c r="M50" s="34"/>
      <c r="N50" s="18" t="s">
        <v>24</v>
      </c>
      <c r="O50" s="26" t="s">
        <v>12</v>
      </c>
      <c r="P50" s="26" t="s">
        <v>13</v>
      </c>
      <c r="Q50" s="26" t="s">
        <v>14</v>
      </c>
      <c r="R50" s="26" t="s">
        <v>15</v>
      </c>
      <c r="S50" s="26" t="s">
        <v>16</v>
      </c>
      <c r="T50" s="21" t="s">
        <v>8</v>
      </c>
      <c r="U50" s="21" t="s">
        <v>9</v>
      </c>
      <c r="V50" s="10"/>
    </row>
    <row r="51" spans="1:22" ht="15.75" customHeight="1" x14ac:dyDescent="0.2">
      <c r="A51" s="26" t="s">
        <v>12</v>
      </c>
      <c r="B51" s="38">
        <f t="shared" ref="B51:F55" si="2">POWER(B42*I42*P42,1/3)</f>
        <v>1</v>
      </c>
      <c r="C51" s="38">
        <f t="shared" si="2"/>
        <v>0.34199518933533946</v>
      </c>
      <c r="D51" s="38">
        <f t="shared" si="2"/>
        <v>0.27144176165949069</v>
      </c>
      <c r="E51" s="38">
        <f t="shared" si="2"/>
        <v>3.9790572078963913</v>
      </c>
      <c r="F51" s="38">
        <f t="shared" si="2"/>
        <v>0.55032120814910446</v>
      </c>
      <c r="G51" s="34"/>
      <c r="H51" s="39">
        <v>1</v>
      </c>
      <c r="I51" s="39">
        <f t="array" ref="I51:I55">MMULT(B51:F55,H51:H55)/MMULT(TRANSPOSE(H51:H55),MMULT(B51:F55,H51:H55))</f>
        <v>0.13344402864628405</v>
      </c>
      <c r="J51" s="39">
        <f t="array" ref="J51">MMULT(TRANSPOSE(H51:H55),MMULT(B51:F55,I51:I55))</f>
        <v>5.1654308228517323</v>
      </c>
      <c r="K51" s="39">
        <f>(J51-5)/(5-1)</f>
        <v>4.1357705712933068E-2</v>
      </c>
      <c r="L51" s="32">
        <f>K51/1.12</f>
        <v>3.6926522957975952E-2</v>
      </c>
      <c r="M51" s="34"/>
      <c r="N51" s="26" t="s">
        <v>12</v>
      </c>
      <c r="O51" s="59">
        <f>B51/$B$56</f>
        <v>0.1033433042586666</v>
      </c>
      <c r="P51" s="59">
        <f>C51/$C$56</f>
        <v>9.3551584689049352E-2</v>
      </c>
      <c r="Q51" s="59">
        <f>D51/$D$56</f>
        <v>8.0177325919114903E-2</v>
      </c>
      <c r="R51" s="59">
        <f>E51/$E$56</f>
        <v>0.15457305404773458</v>
      </c>
      <c r="S51" s="59">
        <f>F51/$F$56</f>
        <v>0.15402366105287682</v>
      </c>
      <c r="T51" s="10">
        <f>AVERAGE(O51:S51)</f>
        <v>0.11713378599348845</v>
      </c>
      <c r="U51" s="24">
        <f>AVERAGE(O51:S51)</f>
        <v>0.11713378599348845</v>
      </c>
      <c r="V51" s="10"/>
    </row>
    <row r="52" spans="1:22" ht="15.75" customHeight="1" x14ac:dyDescent="0.2">
      <c r="A52" s="26" t="s">
        <v>13</v>
      </c>
      <c r="B52" s="38">
        <f t="shared" si="2"/>
        <v>2.9240177382128656</v>
      </c>
      <c r="C52" s="38">
        <f t="shared" si="2"/>
        <v>1</v>
      </c>
      <c r="D52" s="38">
        <f t="shared" si="2"/>
        <v>0.90856029641606983</v>
      </c>
      <c r="E52" s="38">
        <f t="shared" si="2"/>
        <v>6.649399761150975</v>
      </c>
      <c r="F52" s="38">
        <f t="shared" si="2"/>
        <v>0.94103602888102844</v>
      </c>
      <c r="G52" s="34"/>
      <c r="H52" s="39">
        <v>1</v>
      </c>
      <c r="I52" s="39">
        <v>0.26987251181048788</v>
      </c>
      <c r="J52" s="40"/>
      <c r="K52" s="40"/>
      <c r="L52" s="40"/>
      <c r="M52" s="34"/>
      <c r="N52" s="26" t="s">
        <v>13</v>
      </c>
      <c r="O52" s="59">
        <f>B52/$B$56</f>
        <v>0.30217765477787029</v>
      </c>
      <c r="P52" s="59">
        <f>C52/$C$56</f>
        <v>0.27354649306870343</v>
      </c>
      <c r="Q52" s="59">
        <f>D52/$D$56</f>
        <v>0.26836671909866339</v>
      </c>
      <c r="R52" s="59">
        <f>E52/$E$56</f>
        <v>0.25830692421955898</v>
      </c>
      <c r="S52" s="59">
        <f>F52/$F$56</f>
        <v>0.26337675561950369</v>
      </c>
      <c r="T52" s="10">
        <f>AVERAGE(O52:S52)</f>
        <v>0.27315490935685999</v>
      </c>
      <c r="U52" s="24">
        <f>AVERAGE(O52:S52)</f>
        <v>0.27315490935685999</v>
      </c>
      <c r="V52" s="10"/>
    </row>
    <row r="53" spans="1:22" ht="15.75" customHeight="1" x14ac:dyDescent="0.2">
      <c r="A53" s="26" t="s">
        <v>14</v>
      </c>
      <c r="B53" s="38">
        <f t="shared" si="2"/>
        <v>3.6840314986403864</v>
      </c>
      <c r="C53" s="38">
        <f t="shared" si="2"/>
        <v>1.1006424162982089</v>
      </c>
      <c r="D53" s="38">
        <f t="shared" si="2"/>
        <v>1</v>
      </c>
      <c r="E53" s="38">
        <f t="shared" si="2"/>
        <v>6.9999999999999982</v>
      </c>
      <c r="F53" s="38">
        <f t="shared" si="2"/>
        <v>0.94103602888102844</v>
      </c>
      <c r="G53" s="34"/>
      <c r="H53" s="39">
        <v>1</v>
      </c>
      <c r="I53" s="39">
        <v>0.29817175374687233</v>
      </c>
      <c r="J53" s="40"/>
      <c r="K53" s="40"/>
      <c r="L53" s="40"/>
      <c r="M53" s="34"/>
      <c r="N53" s="26" t="s">
        <v>14</v>
      </c>
      <c r="O53" s="59">
        <f>B53/$B$56</f>
        <v>0.38071998806250495</v>
      </c>
      <c r="P53" s="59">
        <f>C53/$C$56</f>
        <v>0.30107687310103903</v>
      </c>
      <c r="Q53" s="59">
        <f>D53/$D$56</f>
        <v>0.29537579416277554</v>
      </c>
      <c r="R53" s="59">
        <f>E53/$E$56</f>
        <v>0.27192656998921833</v>
      </c>
      <c r="S53" s="59">
        <f>F53/$F$56</f>
        <v>0.26337675561950369</v>
      </c>
      <c r="T53" s="10">
        <f>AVERAGE(O53:S53)</f>
        <v>0.30249519618700832</v>
      </c>
      <c r="U53" s="24">
        <f>AVERAGE(O53:S53)</f>
        <v>0.30249519618700832</v>
      </c>
      <c r="V53" s="10"/>
    </row>
    <row r="54" spans="1:22" ht="15.75" customHeight="1" x14ac:dyDescent="0.2">
      <c r="A54" s="26" t="s">
        <v>15</v>
      </c>
      <c r="B54" s="38">
        <f t="shared" si="2"/>
        <v>0.25131581370971795</v>
      </c>
      <c r="C54" s="38">
        <f t="shared" si="2"/>
        <v>0.15038951422991381</v>
      </c>
      <c r="D54" s="38">
        <f t="shared" si="2"/>
        <v>0.14285714285714285</v>
      </c>
      <c r="E54" s="38">
        <f t="shared" si="2"/>
        <v>1</v>
      </c>
      <c r="F54" s="38">
        <f t="shared" si="2"/>
        <v>0.14057211088362487</v>
      </c>
      <c r="G54" s="34"/>
      <c r="H54" s="39">
        <v>1</v>
      </c>
      <c r="I54" s="39">
        <v>3.6607179925537699E-2</v>
      </c>
      <c r="J54" s="40"/>
      <c r="K54" s="40"/>
      <c r="L54" s="40"/>
      <c r="M54" s="34"/>
      <c r="N54" s="26" t="s">
        <v>15</v>
      </c>
      <c r="O54" s="59">
        <f>B54/$B$56</f>
        <v>2.5971806601217756E-2</v>
      </c>
      <c r="P54" s="59">
        <f>C54/$C$56</f>
        <v>4.1138524211898793E-2</v>
      </c>
      <c r="Q54" s="59">
        <f>D54/$D$56</f>
        <v>4.2196542023253653E-2</v>
      </c>
      <c r="R54" s="59">
        <f>E54/$E$56</f>
        <v>3.8846652855602633E-2</v>
      </c>
      <c r="S54" s="59">
        <f>F54/$F$56</f>
        <v>3.9343261425535681E-2</v>
      </c>
      <c r="T54" s="10">
        <f>AVERAGE(O54:S54)</f>
        <v>3.7499357423501703E-2</v>
      </c>
      <c r="U54" s="24">
        <f>AVERAGE(O54:S54)</f>
        <v>3.7499357423501703E-2</v>
      </c>
      <c r="V54" s="10"/>
    </row>
    <row r="55" spans="1:22" ht="15.75" customHeight="1" x14ac:dyDescent="0.2">
      <c r="A55" s="26" t="s">
        <v>16</v>
      </c>
      <c r="B55" s="38">
        <f t="shared" si="2"/>
        <v>1.8171205928321397</v>
      </c>
      <c r="C55" s="38">
        <f t="shared" si="2"/>
        <v>1.0626585691826111</v>
      </c>
      <c r="D55" s="38">
        <f t="shared" si="2"/>
        <v>1.0626585691826111</v>
      </c>
      <c r="E55" s="38">
        <f t="shared" si="2"/>
        <v>7.1137866089801252</v>
      </c>
      <c r="F55" s="38">
        <f t="shared" si="2"/>
        <v>1</v>
      </c>
      <c r="G55" s="34"/>
      <c r="H55" s="33">
        <v>1</v>
      </c>
      <c r="I55" s="33">
        <v>0.26190452587081797</v>
      </c>
      <c r="J55" s="40"/>
      <c r="K55" s="40"/>
      <c r="L55" s="40"/>
      <c r="M55" s="34"/>
      <c r="N55" s="26" t="s">
        <v>16</v>
      </c>
      <c r="O55" s="59">
        <f>B55/$B$56</f>
        <v>0.18778724629974045</v>
      </c>
      <c r="P55" s="59">
        <f>C55/$C$56</f>
        <v>0.29068652492930946</v>
      </c>
      <c r="Q55" s="59">
        <f>D55/$D$56</f>
        <v>0.31388361879619253</v>
      </c>
      <c r="R55" s="59">
        <f>E55/$E$56</f>
        <v>0.27634679888788555</v>
      </c>
      <c r="S55" s="59">
        <f>F55/$F$56</f>
        <v>0.27987956628258004</v>
      </c>
      <c r="T55" s="10">
        <f>AVERAGE(O55:S55)</f>
        <v>0.26971675103914156</v>
      </c>
      <c r="U55" s="24">
        <f>AVERAGE(O55:S55)</f>
        <v>0.26971675103914156</v>
      </c>
      <c r="V55" s="10"/>
    </row>
    <row r="56" spans="1:22" ht="15.75" customHeight="1" x14ac:dyDescent="0.2">
      <c r="A56" s="17" t="s">
        <v>10</v>
      </c>
      <c r="B56" s="17">
        <f>SUM(B51:B55)</f>
        <v>9.6764856433951092</v>
      </c>
      <c r="C56" s="17">
        <f>SUM(C51:C55)</f>
        <v>3.6556856890460732</v>
      </c>
      <c r="D56" s="17">
        <f>SUM(D51:D55)</f>
        <v>3.3855177701153143</v>
      </c>
      <c r="E56" s="17">
        <f>SUM(E51:E55)</f>
        <v>25.742243578027487</v>
      </c>
      <c r="F56" s="17">
        <f>SUM(F51:F55)</f>
        <v>3.5729653767947864</v>
      </c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10"/>
    </row>
    <row r="57" spans="1:22" ht="15.75" customHeight="1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</row>
    <row r="58" spans="1:22" ht="15.75" customHeight="1" x14ac:dyDescent="0.2">
      <c r="A58" s="4" t="s">
        <v>27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34"/>
      <c r="V58" s="10"/>
    </row>
    <row r="59" spans="1:22" ht="15.75" customHeight="1" x14ac:dyDescent="0.2">
      <c r="A59" s="35"/>
      <c r="B59" s="35"/>
      <c r="C59" s="35"/>
      <c r="D59" s="35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10"/>
    </row>
    <row r="60" spans="1:22" ht="15.75" customHeight="1" x14ac:dyDescent="0.2">
      <c r="A60" s="25" t="s">
        <v>4</v>
      </c>
      <c r="B60" s="26" t="s">
        <v>12</v>
      </c>
      <c r="C60" s="26" t="s">
        <v>13</v>
      </c>
      <c r="D60" s="26" t="s">
        <v>14</v>
      </c>
      <c r="E60" s="26" t="s">
        <v>15</v>
      </c>
      <c r="F60" s="26" t="s">
        <v>16</v>
      </c>
      <c r="G60" s="34"/>
      <c r="H60" s="25" t="s">
        <v>4</v>
      </c>
      <c r="I60" s="26" t="s">
        <v>12</v>
      </c>
      <c r="J60" s="26" t="s">
        <v>13</v>
      </c>
      <c r="K60" s="26" t="s">
        <v>14</v>
      </c>
      <c r="L60" s="26" t="s">
        <v>15</v>
      </c>
      <c r="M60" s="26" t="s">
        <v>16</v>
      </c>
      <c r="N60" s="34"/>
      <c r="O60" s="25" t="s">
        <v>4</v>
      </c>
      <c r="P60" s="26" t="s">
        <v>12</v>
      </c>
      <c r="Q60" s="26" t="s">
        <v>13</v>
      </c>
      <c r="R60" s="26" t="s">
        <v>14</v>
      </c>
      <c r="S60" s="26" t="s">
        <v>15</v>
      </c>
      <c r="T60" s="26" t="s">
        <v>16</v>
      </c>
      <c r="U60" s="34"/>
      <c r="V60" s="10"/>
    </row>
    <row r="61" spans="1:22" ht="15.75" customHeight="1" x14ac:dyDescent="0.25">
      <c r="A61" s="26" t="s">
        <v>12</v>
      </c>
      <c r="B61" s="36">
        <v>1</v>
      </c>
      <c r="C61" s="36">
        <f>1/B62</f>
        <v>0.14285714285714285</v>
      </c>
      <c r="D61" s="36">
        <v>7</v>
      </c>
      <c r="E61" s="36">
        <f>1/B64</f>
        <v>0.33333333333333331</v>
      </c>
      <c r="F61" s="36">
        <f>1/B65</f>
        <v>0.25</v>
      </c>
      <c r="G61" s="34"/>
      <c r="H61" s="26" t="s">
        <v>12</v>
      </c>
      <c r="I61" s="36">
        <v>1</v>
      </c>
      <c r="J61" s="36">
        <f>1/I62</f>
        <v>0.33333333333333331</v>
      </c>
      <c r="K61" s="36">
        <v>4</v>
      </c>
      <c r="L61" s="36">
        <f>1/I64</f>
        <v>0.14285714285714285</v>
      </c>
      <c r="M61" s="36">
        <f>1/I65</f>
        <v>0.2</v>
      </c>
      <c r="N61" s="34"/>
      <c r="O61" s="26" t="s">
        <v>12</v>
      </c>
      <c r="P61" s="36">
        <v>1</v>
      </c>
      <c r="Q61" s="36">
        <f>1/P62</f>
        <v>0.5</v>
      </c>
      <c r="R61" s="36">
        <f>1/P63</f>
        <v>0.2</v>
      </c>
      <c r="S61" s="36">
        <v>5</v>
      </c>
      <c r="T61" s="36">
        <v>3</v>
      </c>
      <c r="U61" s="34"/>
      <c r="V61" s="10"/>
    </row>
    <row r="62" spans="1:22" ht="15.75" customHeight="1" x14ac:dyDescent="0.25">
      <c r="A62" s="26" t="s">
        <v>13</v>
      </c>
      <c r="B62" s="36">
        <v>7</v>
      </c>
      <c r="C62" s="36">
        <v>1</v>
      </c>
      <c r="D62" s="36">
        <v>9</v>
      </c>
      <c r="E62" s="36">
        <v>5</v>
      </c>
      <c r="F62" s="36">
        <v>2</v>
      </c>
      <c r="G62" s="34"/>
      <c r="H62" s="26" t="s">
        <v>13</v>
      </c>
      <c r="I62" s="36">
        <v>3</v>
      </c>
      <c r="J62" s="36">
        <v>1</v>
      </c>
      <c r="K62" s="36">
        <v>5</v>
      </c>
      <c r="L62" s="36">
        <f>1/J64</f>
        <v>0.2</v>
      </c>
      <c r="M62" s="36">
        <f>1/J65</f>
        <v>0.25</v>
      </c>
      <c r="N62" s="34"/>
      <c r="O62" s="26" t="s">
        <v>13</v>
      </c>
      <c r="P62" s="36">
        <v>2</v>
      </c>
      <c r="Q62" s="36">
        <v>1</v>
      </c>
      <c r="R62" s="36">
        <f>1/Q63</f>
        <v>0.33333333333333331</v>
      </c>
      <c r="S62" s="36">
        <v>7</v>
      </c>
      <c r="T62" s="36">
        <v>4</v>
      </c>
      <c r="U62" s="34"/>
      <c r="V62" s="10"/>
    </row>
    <row r="63" spans="1:22" ht="15.75" customHeight="1" x14ac:dyDescent="0.25">
      <c r="A63" s="26" t="s">
        <v>14</v>
      </c>
      <c r="B63" s="36">
        <f>1/D61</f>
        <v>0.14285714285714285</v>
      </c>
      <c r="C63" s="36">
        <f>1/D62</f>
        <v>0.1111111111111111</v>
      </c>
      <c r="D63" s="36">
        <v>1</v>
      </c>
      <c r="E63" s="36">
        <f>1/D64</f>
        <v>0.14285714285714285</v>
      </c>
      <c r="F63" s="36">
        <f>1/D65</f>
        <v>0.14285714285714285</v>
      </c>
      <c r="G63" s="34"/>
      <c r="H63" s="26" t="s">
        <v>14</v>
      </c>
      <c r="I63" s="36">
        <f>1/K61</f>
        <v>0.25</v>
      </c>
      <c r="J63" s="36">
        <v>0.2</v>
      </c>
      <c r="K63" s="36">
        <v>1</v>
      </c>
      <c r="L63" s="36">
        <f>1/K64</f>
        <v>0.1111111111111111</v>
      </c>
      <c r="M63" s="36">
        <f>1/K65</f>
        <v>0.14285714285714285</v>
      </c>
      <c r="N63" s="34"/>
      <c r="O63" s="26" t="s">
        <v>14</v>
      </c>
      <c r="P63" s="36">
        <v>5</v>
      </c>
      <c r="Q63" s="36">
        <v>3</v>
      </c>
      <c r="R63" s="36">
        <v>1</v>
      </c>
      <c r="S63" s="36">
        <v>9</v>
      </c>
      <c r="T63" s="36">
        <v>6</v>
      </c>
      <c r="U63" s="34"/>
      <c r="V63" s="10"/>
    </row>
    <row r="64" spans="1:22" ht="15.75" customHeight="1" x14ac:dyDescent="0.25">
      <c r="A64" s="26" t="s">
        <v>15</v>
      </c>
      <c r="B64" s="36">
        <v>3</v>
      </c>
      <c r="C64" s="36">
        <f>1/E62</f>
        <v>0.2</v>
      </c>
      <c r="D64" s="36">
        <v>7</v>
      </c>
      <c r="E64" s="36">
        <v>1</v>
      </c>
      <c r="F64" s="36">
        <f>1/E65</f>
        <v>0.5</v>
      </c>
      <c r="G64" s="34"/>
      <c r="H64" s="26" t="s">
        <v>15</v>
      </c>
      <c r="I64" s="36">
        <v>7</v>
      </c>
      <c r="J64" s="36">
        <v>5</v>
      </c>
      <c r="K64" s="36">
        <v>9</v>
      </c>
      <c r="L64" s="36">
        <v>1</v>
      </c>
      <c r="M64" s="36">
        <v>2</v>
      </c>
      <c r="N64" s="34"/>
      <c r="O64" s="26" t="s">
        <v>15</v>
      </c>
      <c r="P64" s="36">
        <f>1/S61</f>
        <v>0.2</v>
      </c>
      <c r="Q64" s="36">
        <f>1/S62</f>
        <v>0.14285714285714285</v>
      </c>
      <c r="R64" s="36">
        <f>1/S63</f>
        <v>0.1111111111111111</v>
      </c>
      <c r="S64" s="36">
        <v>1</v>
      </c>
      <c r="T64" s="36">
        <f>1/S65</f>
        <v>0.5</v>
      </c>
      <c r="U64" s="34"/>
      <c r="V64" s="10"/>
    </row>
    <row r="65" spans="1:22" ht="15.75" customHeight="1" x14ac:dyDescent="0.25">
      <c r="A65" s="26" t="s">
        <v>16</v>
      </c>
      <c r="B65" s="36">
        <v>4</v>
      </c>
      <c r="C65" s="36">
        <f>1/F62</f>
        <v>0.5</v>
      </c>
      <c r="D65" s="36">
        <v>7</v>
      </c>
      <c r="E65" s="36">
        <v>2</v>
      </c>
      <c r="F65" s="36">
        <v>1</v>
      </c>
      <c r="G65" s="34"/>
      <c r="H65" s="26" t="s">
        <v>16</v>
      </c>
      <c r="I65" s="36">
        <v>5</v>
      </c>
      <c r="J65" s="36">
        <v>4</v>
      </c>
      <c r="K65" s="36">
        <v>7</v>
      </c>
      <c r="L65" s="36">
        <f>1/M64</f>
        <v>0.5</v>
      </c>
      <c r="M65" s="36">
        <v>1</v>
      </c>
      <c r="N65" s="34"/>
      <c r="O65" s="26" t="s">
        <v>16</v>
      </c>
      <c r="P65" s="36">
        <f>1/T61</f>
        <v>0.33333333333333331</v>
      </c>
      <c r="Q65" s="36">
        <f>1/T62</f>
        <v>0.25</v>
      </c>
      <c r="R65" s="36">
        <f>1/T63</f>
        <v>0.16666666666666666</v>
      </c>
      <c r="S65" s="36">
        <v>2</v>
      </c>
      <c r="T65" s="36">
        <v>1</v>
      </c>
      <c r="U65" s="34"/>
      <c r="V65" s="10"/>
    </row>
    <row r="66" spans="1:22" ht="15.75" customHeight="1" x14ac:dyDescent="0.2">
      <c r="A66" s="34"/>
      <c r="B66" s="34"/>
      <c r="C66" s="34"/>
      <c r="D66" s="34"/>
      <c r="E66" s="34"/>
      <c r="F66" s="34"/>
      <c r="G66" s="34"/>
      <c r="H66" s="35"/>
      <c r="I66" s="35"/>
      <c r="J66" s="35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10"/>
    </row>
    <row r="67" spans="1:22" ht="15.75" customHeight="1" x14ac:dyDescent="0.2">
      <c r="A67" s="4" t="s">
        <v>28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34"/>
      <c r="V67" s="10"/>
    </row>
    <row r="68" spans="1:22" ht="15.75" customHeight="1" x14ac:dyDescent="0.2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10"/>
    </row>
    <row r="69" spans="1:22" ht="33" customHeight="1" x14ac:dyDescent="0.2">
      <c r="A69" s="28" t="s">
        <v>4</v>
      </c>
      <c r="B69" s="26" t="s">
        <v>12</v>
      </c>
      <c r="C69" s="26" t="s">
        <v>13</v>
      </c>
      <c r="D69" s="26" t="s">
        <v>14</v>
      </c>
      <c r="E69" s="26" t="s">
        <v>15</v>
      </c>
      <c r="F69" s="26" t="s">
        <v>16</v>
      </c>
      <c r="G69" s="34"/>
      <c r="H69" s="37" t="s">
        <v>19</v>
      </c>
      <c r="I69" s="37" t="s">
        <v>20</v>
      </c>
      <c r="J69" s="31" t="s">
        <v>21</v>
      </c>
      <c r="K69" s="37" t="s">
        <v>22</v>
      </c>
      <c r="L69" s="31" t="s">
        <v>23</v>
      </c>
      <c r="M69" s="34"/>
      <c r="N69" s="18" t="s">
        <v>24</v>
      </c>
      <c r="O69" s="26" t="s">
        <v>12</v>
      </c>
      <c r="P69" s="26" t="s">
        <v>13</v>
      </c>
      <c r="Q69" s="26" t="s">
        <v>14</v>
      </c>
      <c r="R69" s="26" t="s">
        <v>15</v>
      </c>
      <c r="S69" s="26" t="s">
        <v>16</v>
      </c>
      <c r="T69" s="21" t="s">
        <v>8</v>
      </c>
      <c r="U69" s="21" t="s">
        <v>9</v>
      </c>
      <c r="V69" s="10"/>
    </row>
    <row r="70" spans="1:22" ht="15.75" customHeight="1" x14ac:dyDescent="0.2">
      <c r="A70" s="26" t="s">
        <v>12</v>
      </c>
      <c r="B70" s="38">
        <f t="shared" ref="B70:F74" si="3">POWER(B61*I61*P61,1/3)</f>
        <v>1</v>
      </c>
      <c r="C70" s="38">
        <f t="shared" si="3"/>
        <v>0.28768479133239405</v>
      </c>
      <c r="D70" s="38">
        <f t="shared" si="3"/>
        <v>1.7758080034852015</v>
      </c>
      <c r="E70" s="38">
        <f t="shared" si="3"/>
        <v>0.61979809424109344</v>
      </c>
      <c r="F70" s="38">
        <f t="shared" si="3"/>
        <v>0.53132928459130557</v>
      </c>
      <c r="G70" s="34"/>
      <c r="H70" s="39">
        <v>1</v>
      </c>
      <c r="I70" s="39">
        <f t="array" ref="I70:I74">MMULT(B70:F74,H70:H74)/MMULT(TRANSPOSE(H70:H74),MMULT(B70:F74,H70:H74))</f>
        <v>0.13997431515943887</v>
      </c>
      <c r="J70" s="39">
        <f t="array" ref="J70">MMULT(TRANSPOSE(H70:H74),MMULT(B70:F74,I70:I74))</f>
        <v>5.0890161115620529</v>
      </c>
      <c r="K70" s="39">
        <f>(J70-5)/(5-1)</f>
        <v>2.2254027890513228E-2</v>
      </c>
      <c r="L70" s="32">
        <f>K70/1.12</f>
        <v>1.9869667759386807E-2</v>
      </c>
      <c r="M70" s="34"/>
      <c r="N70" s="26" t="s">
        <v>12</v>
      </c>
      <c r="O70" s="59">
        <f>B70/$B$75</f>
        <v>0.11716940342966131</v>
      </c>
      <c r="P70" s="59">
        <f>C70/$C$75</f>
        <v>9.5588302004445125E-2</v>
      </c>
      <c r="Q70" s="59">
        <f>D70/$D$75</f>
        <v>0.19368060102422083</v>
      </c>
      <c r="R70" s="59">
        <f>E70/$E$75</f>
        <v>0.11660404261584698</v>
      </c>
      <c r="S70" s="59">
        <f>F70/$F$75</f>
        <v>0.13017907325965455</v>
      </c>
      <c r="T70" s="10">
        <f>AVERAGE(O70:S70)</f>
        <v>0.13064428446676576</v>
      </c>
      <c r="U70" s="24">
        <f>AVERAGE(O70:S70)</f>
        <v>0.13064428446676576</v>
      </c>
      <c r="V70" s="10"/>
    </row>
    <row r="71" spans="1:22" ht="15.75" customHeight="1" x14ac:dyDescent="0.2">
      <c r="A71" s="26" t="s">
        <v>13</v>
      </c>
      <c r="B71" s="38">
        <f t="shared" si="3"/>
        <v>3.4760266448864496</v>
      </c>
      <c r="C71" s="38">
        <f t="shared" si="3"/>
        <v>1</v>
      </c>
      <c r="D71" s="38">
        <f t="shared" si="3"/>
        <v>2.4662120743304703</v>
      </c>
      <c r="E71" s="38">
        <f t="shared" si="3"/>
        <v>1.9129311827723889</v>
      </c>
      <c r="F71" s="38">
        <f t="shared" si="3"/>
        <v>1.2599210498948732</v>
      </c>
      <c r="G71" s="34"/>
      <c r="H71" s="39">
        <v>1</v>
      </c>
      <c r="I71" s="39">
        <v>0.33593844057820549</v>
      </c>
      <c r="J71" s="40"/>
      <c r="K71" s="40"/>
      <c r="L71" s="40"/>
      <c r="M71" s="34"/>
      <c r="N71" s="26" t="s">
        <v>13</v>
      </c>
      <c r="O71" s="59">
        <f>B71/$B$75</f>
        <v>0.40728396828695251</v>
      </c>
      <c r="P71" s="59">
        <f>C71/$C$75</f>
        <v>0.33226748470690404</v>
      </c>
      <c r="Q71" s="59">
        <f>D71/$D$75</f>
        <v>0.26898033789242148</v>
      </c>
      <c r="R71" s="59">
        <f>E71/$E$75</f>
        <v>0.35988414812777481</v>
      </c>
      <c r="S71" s="59">
        <f>F71/$F$75</f>
        <v>0.30868871604132442</v>
      </c>
      <c r="T71" s="10">
        <f>AVERAGE(O71:S71)</f>
        <v>0.3354209310110754</v>
      </c>
      <c r="U71" s="24">
        <f>AVERAGE(O71:S71)</f>
        <v>0.3354209310110754</v>
      </c>
      <c r="V71" s="10"/>
    </row>
    <row r="72" spans="1:22" ht="15.75" customHeight="1" x14ac:dyDescent="0.2">
      <c r="A72" s="26" t="s">
        <v>14</v>
      </c>
      <c r="B72" s="38">
        <f t="shared" si="3"/>
        <v>0.56312394022180301</v>
      </c>
      <c r="C72" s="38">
        <f t="shared" si="3"/>
        <v>0.40548013303822666</v>
      </c>
      <c r="D72" s="38">
        <f t="shared" si="3"/>
        <v>1</v>
      </c>
      <c r="E72" s="38">
        <f t="shared" si="3"/>
        <v>0.52275795857471019</v>
      </c>
      <c r="F72" s="38">
        <f t="shared" si="3"/>
        <v>0.49657523498377854</v>
      </c>
      <c r="G72" s="34"/>
      <c r="H72" s="39">
        <v>1</v>
      </c>
      <c r="I72" s="39">
        <v>9.923420271110299E-2</v>
      </c>
      <c r="J72" s="40"/>
      <c r="K72" s="40"/>
      <c r="L72" s="40"/>
      <c r="M72" s="34"/>
      <c r="N72" s="26" t="s">
        <v>14</v>
      </c>
      <c r="O72" s="59">
        <f>B72/$B$75</f>
        <v>6.598089613274892E-2</v>
      </c>
      <c r="P72" s="59">
        <f>C72/$C$75</f>
        <v>0.13472786390323238</v>
      </c>
      <c r="Q72" s="59">
        <f>D72/$D$75</f>
        <v>0.10906618319328622</v>
      </c>
      <c r="R72" s="59">
        <f>E72/$E$75</f>
        <v>9.8347658448442565E-2</v>
      </c>
      <c r="S72" s="59">
        <f>F72/$F$75</f>
        <v>0.12166410880892238</v>
      </c>
      <c r="T72" s="10">
        <f>AVERAGE(O72:S72)</f>
        <v>0.1059573420973265</v>
      </c>
      <c r="U72" s="24">
        <f>AVERAGE(O72:S72)</f>
        <v>0.1059573420973265</v>
      </c>
      <c r="V72" s="10"/>
    </row>
    <row r="73" spans="1:22" ht="15.75" customHeight="1" x14ac:dyDescent="0.2">
      <c r="A73" s="26" t="s">
        <v>15</v>
      </c>
      <c r="B73" s="38">
        <f t="shared" si="3"/>
        <v>1.6134286460245437</v>
      </c>
      <c r="C73" s="38">
        <f t="shared" si="3"/>
        <v>0.52275795857471019</v>
      </c>
      <c r="D73" s="38">
        <f t="shared" si="3"/>
        <v>1.9129311827723889</v>
      </c>
      <c r="E73" s="38">
        <f t="shared" si="3"/>
        <v>1</v>
      </c>
      <c r="F73" s="38">
        <f t="shared" si="3"/>
        <v>0.79370052598409979</v>
      </c>
      <c r="G73" s="34"/>
      <c r="H73" s="39">
        <v>1</v>
      </c>
      <c r="I73" s="39">
        <v>0.1940493943264924</v>
      </c>
      <c r="J73" s="40"/>
      <c r="K73" s="40"/>
      <c r="L73" s="40"/>
      <c r="M73" s="34"/>
      <c r="N73" s="26" t="s">
        <v>15</v>
      </c>
      <c r="O73" s="59">
        <f>B73/$B$75</f>
        <v>0.189044471931022</v>
      </c>
      <c r="P73" s="59">
        <f>C73/$C$75</f>
        <v>0.17369547200613489</v>
      </c>
      <c r="Q73" s="59">
        <f>D73/$D$75</f>
        <v>0.20863610281640305</v>
      </c>
      <c r="R73" s="59">
        <f>E73/$E$75</f>
        <v>0.18813230259867419</v>
      </c>
      <c r="S73" s="59">
        <f>F73/$F$75</f>
        <v>0.19446170560274295</v>
      </c>
      <c r="T73" s="10">
        <f>AVERAGE(O73:S73)</f>
        <v>0.19079401099099544</v>
      </c>
      <c r="U73" s="24">
        <f>AVERAGE(O73:S73)</f>
        <v>0.19079401099099544</v>
      </c>
      <c r="V73" s="10"/>
    </row>
    <row r="74" spans="1:22" ht="15.75" customHeight="1" x14ac:dyDescent="0.2">
      <c r="A74" s="26" t="s">
        <v>16</v>
      </c>
      <c r="B74" s="38">
        <f t="shared" si="3"/>
        <v>1.8820720577620569</v>
      </c>
      <c r="C74" s="38">
        <f t="shared" si="3"/>
        <v>0.79370052598409979</v>
      </c>
      <c r="D74" s="38">
        <f t="shared" si="3"/>
        <v>2.0137935393267581</v>
      </c>
      <c r="E74" s="38">
        <f t="shared" si="3"/>
        <v>1.2599210498948732</v>
      </c>
      <c r="F74" s="38">
        <f t="shared" si="3"/>
        <v>1</v>
      </c>
      <c r="G74" s="34"/>
      <c r="H74" s="33">
        <v>1</v>
      </c>
      <c r="I74" s="33">
        <v>0.23080364722476021</v>
      </c>
      <c r="J74" s="40"/>
      <c r="K74" s="40"/>
      <c r="L74" s="40"/>
      <c r="M74" s="34"/>
      <c r="N74" s="26" t="s">
        <v>16</v>
      </c>
      <c r="O74" s="59">
        <f>B74/$B$75</f>
        <v>0.22052126021961529</v>
      </c>
      <c r="P74" s="59">
        <f>C74/$C$75</f>
        <v>0.26372087737928357</v>
      </c>
      <c r="Q74" s="59">
        <f>D74/$D$75</f>
        <v>0.21963677507366841</v>
      </c>
      <c r="R74" s="59">
        <f>E74/$E$75</f>
        <v>0.23703184820926157</v>
      </c>
      <c r="S74" s="59">
        <f>F74/$F$75</f>
        <v>0.24500639628735563</v>
      </c>
      <c r="T74" s="10">
        <f>AVERAGE(O74:S74)</f>
        <v>0.23718343143383688</v>
      </c>
      <c r="U74" s="24">
        <f>AVERAGE(O74:S74)</f>
        <v>0.23718343143383688</v>
      </c>
      <c r="V74" s="10"/>
    </row>
    <row r="75" spans="1:22" ht="15.75" customHeight="1" x14ac:dyDescent="0.2">
      <c r="A75" s="17" t="s">
        <v>10</v>
      </c>
      <c r="B75" s="17">
        <f>SUM(B70:B74)</f>
        <v>8.5346512888948531</v>
      </c>
      <c r="C75" s="17">
        <f>SUM(C70:C74)</f>
        <v>3.0096234089294307</v>
      </c>
      <c r="D75" s="17">
        <f>SUM(D70:D74)</f>
        <v>9.1687447999148191</v>
      </c>
      <c r="E75" s="17">
        <f>SUM(E70:E74)</f>
        <v>5.3154082854830653</v>
      </c>
      <c r="F75" s="17">
        <f>SUM(F70:F74)</f>
        <v>4.0815260954540573</v>
      </c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10"/>
    </row>
    <row r="76" spans="1:22" ht="15.75" customHeight="1" x14ac:dyDescent="0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</row>
    <row r="77" spans="1:22" ht="15.75" customHeight="1" x14ac:dyDescent="0.2">
      <c r="A77" s="3" t="s">
        <v>29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4"/>
      <c r="V77" s="10"/>
    </row>
    <row r="78" spans="1:22" ht="15.75" customHeight="1" x14ac:dyDescent="0.2">
      <c r="A78" s="35"/>
      <c r="B78" s="35"/>
      <c r="C78" s="35"/>
      <c r="D78" s="35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10"/>
    </row>
    <row r="79" spans="1:22" ht="32.25" customHeight="1" x14ac:dyDescent="0.2">
      <c r="A79" s="25" t="s">
        <v>5</v>
      </c>
      <c r="B79" s="26" t="s">
        <v>12</v>
      </c>
      <c r="C79" s="26" t="s">
        <v>13</v>
      </c>
      <c r="D79" s="26" t="s">
        <v>14</v>
      </c>
      <c r="E79" s="26" t="s">
        <v>15</v>
      </c>
      <c r="F79" s="26" t="s">
        <v>16</v>
      </c>
      <c r="G79" s="34"/>
      <c r="H79" s="25" t="s">
        <v>5</v>
      </c>
      <c r="I79" s="26" t="s">
        <v>12</v>
      </c>
      <c r="J79" s="26" t="s">
        <v>13</v>
      </c>
      <c r="K79" s="26" t="s">
        <v>14</v>
      </c>
      <c r="L79" s="26" t="s">
        <v>15</v>
      </c>
      <c r="M79" s="26" t="s">
        <v>16</v>
      </c>
      <c r="N79" s="34"/>
      <c r="O79" s="25" t="s">
        <v>5</v>
      </c>
      <c r="P79" s="26" t="s">
        <v>12</v>
      </c>
      <c r="Q79" s="26" t="s">
        <v>13</v>
      </c>
      <c r="R79" s="26" t="s">
        <v>14</v>
      </c>
      <c r="S79" s="26" t="s">
        <v>15</v>
      </c>
      <c r="T79" s="26" t="s">
        <v>16</v>
      </c>
      <c r="U79" s="34"/>
      <c r="V79" s="10"/>
    </row>
    <row r="80" spans="1:22" ht="15.75" customHeight="1" x14ac:dyDescent="0.25">
      <c r="A80" s="26" t="s">
        <v>12</v>
      </c>
      <c r="B80" s="36">
        <v>1</v>
      </c>
      <c r="C80" s="36">
        <f>1/B81</f>
        <v>0.14285714285714285</v>
      </c>
      <c r="D80" s="36">
        <f>1/B82</f>
        <v>0.14285714285714285</v>
      </c>
      <c r="E80" s="36">
        <f>1/B83</f>
        <v>0.33333333333333331</v>
      </c>
      <c r="F80" s="36">
        <f>1/B84</f>
        <v>0.16666666666666666</v>
      </c>
      <c r="G80" s="34"/>
      <c r="H80" s="26" t="s">
        <v>12</v>
      </c>
      <c r="I80" s="36">
        <v>1</v>
      </c>
      <c r="J80" s="36">
        <f>1/I81</f>
        <v>0.5</v>
      </c>
      <c r="K80" s="36">
        <f>1/I82</f>
        <v>0.1111111111111111</v>
      </c>
      <c r="L80" s="36">
        <f>1/I83</f>
        <v>0.1111111111111111</v>
      </c>
      <c r="M80" s="36">
        <f>1/I84</f>
        <v>0.1111111111111111</v>
      </c>
      <c r="N80" s="34"/>
      <c r="O80" s="26" t="s">
        <v>12</v>
      </c>
      <c r="P80" s="36">
        <v>1</v>
      </c>
      <c r="Q80" s="36">
        <v>1</v>
      </c>
      <c r="R80" s="36">
        <f>1/P82</f>
        <v>0.2</v>
      </c>
      <c r="S80" s="36">
        <f>1/P83</f>
        <v>0.16666666666666666</v>
      </c>
      <c r="T80" s="36">
        <f>1/P84</f>
        <v>0.2</v>
      </c>
      <c r="U80" s="34"/>
      <c r="V80" s="10"/>
    </row>
    <row r="81" spans="1:22" ht="15.75" customHeight="1" x14ac:dyDescent="0.25">
      <c r="A81" s="26" t="s">
        <v>13</v>
      </c>
      <c r="B81" s="36">
        <v>7</v>
      </c>
      <c r="C81" s="36">
        <v>1</v>
      </c>
      <c r="D81" s="36">
        <v>1</v>
      </c>
      <c r="E81" s="36">
        <v>6</v>
      </c>
      <c r="F81" s="36">
        <v>4</v>
      </c>
      <c r="G81" s="34"/>
      <c r="H81" s="26" t="s">
        <v>13</v>
      </c>
      <c r="I81" s="36">
        <v>2</v>
      </c>
      <c r="J81" s="36">
        <v>1</v>
      </c>
      <c r="K81" s="36">
        <f>1/J82</f>
        <v>0.14285714285714285</v>
      </c>
      <c r="L81" s="36">
        <f>1/J83</f>
        <v>0.14285714285714285</v>
      </c>
      <c r="M81" s="36">
        <f>1/J84</f>
        <v>0.14285714285714285</v>
      </c>
      <c r="N81" s="34"/>
      <c r="O81" s="26" t="s">
        <v>13</v>
      </c>
      <c r="P81" s="36">
        <v>1</v>
      </c>
      <c r="Q81" s="36">
        <v>1</v>
      </c>
      <c r="R81" s="36">
        <f>1/Q82</f>
        <v>0.2</v>
      </c>
      <c r="S81" s="36">
        <f>1/Q83</f>
        <v>0.16666666666666666</v>
      </c>
      <c r="T81" s="36">
        <f>1/Q84</f>
        <v>0.2</v>
      </c>
      <c r="U81" s="34"/>
      <c r="V81" s="10"/>
    </row>
    <row r="82" spans="1:22" ht="15.75" customHeight="1" x14ac:dyDescent="0.25">
      <c r="A82" s="26" t="s">
        <v>14</v>
      </c>
      <c r="B82" s="36">
        <v>7</v>
      </c>
      <c r="C82" s="36">
        <v>1</v>
      </c>
      <c r="D82" s="36">
        <v>1</v>
      </c>
      <c r="E82" s="36">
        <v>5</v>
      </c>
      <c r="F82" s="36">
        <v>3</v>
      </c>
      <c r="G82" s="34"/>
      <c r="H82" s="26" t="s">
        <v>14</v>
      </c>
      <c r="I82" s="36">
        <v>9</v>
      </c>
      <c r="J82" s="36">
        <v>7</v>
      </c>
      <c r="K82" s="36">
        <v>1</v>
      </c>
      <c r="L82" s="36">
        <v>1</v>
      </c>
      <c r="M82" s="36">
        <v>1</v>
      </c>
      <c r="N82" s="34"/>
      <c r="O82" s="26" t="s">
        <v>14</v>
      </c>
      <c r="P82" s="36">
        <v>5</v>
      </c>
      <c r="Q82" s="36">
        <v>5</v>
      </c>
      <c r="R82" s="36">
        <v>1</v>
      </c>
      <c r="S82" s="36">
        <f>1/R83</f>
        <v>0.5</v>
      </c>
      <c r="T82" s="36">
        <v>1</v>
      </c>
      <c r="U82" s="34"/>
      <c r="V82" s="10"/>
    </row>
    <row r="83" spans="1:22" ht="15.75" customHeight="1" x14ac:dyDescent="0.25">
      <c r="A83" s="26" t="s">
        <v>15</v>
      </c>
      <c r="B83" s="58">
        <v>3</v>
      </c>
      <c r="C83" s="36">
        <f>1/E81</f>
        <v>0.16666666666666666</v>
      </c>
      <c r="D83" s="36">
        <f>1/E82</f>
        <v>0.2</v>
      </c>
      <c r="E83" s="36">
        <v>1</v>
      </c>
      <c r="F83" s="36">
        <f>1/E84</f>
        <v>0.2</v>
      </c>
      <c r="G83" s="34"/>
      <c r="H83" s="26" t="s">
        <v>15</v>
      </c>
      <c r="I83" s="36">
        <v>9</v>
      </c>
      <c r="J83" s="36">
        <v>7</v>
      </c>
      <c r="K83" s="36">
        <v>1</v>
      </c>
      <c r="L83" s="36">
        <v>1</v>
      </c>
      <c r="M83" s="36">
        <v>1</v>
      </c>
      <c r="N83" s="34"/>
      <c r="O83" s="26" t="s">
        <v>15</v>
      </c>
      <c r="P83" s="36">
        <v>6</v>
      </c>
      <c r="Q83" s="36">
        <v>6</v>
      </c>
      <c r="R83" s="36">
        <v>2</v>
      </c>
      <c r="S83" s="36">
        <v>1</v>
      </c>
      <c r="T83" s="36">
        <v>2</v>
      </c>
      <c r="U83" s="34"/>
      <c r="V83" s="10"/>
    </row>
    <row r="84" spans="1:22" ht="15.75" customHeight="1" x14ac:dyDescent="0.25">
      <c r="A84" s="26" t="s">
        <v>16</v>
      </c>
      <c r="B84" s="36">
        <v>6</v>
      </c>
      <c r="C84" s="36">
        <f>1/F81</f>
        <v>0.25</v>
      </c>
      <c r="D84" s="36">
        <f>1/F82</f>
        <v>0.33333333333333331</v>
      </c>
      <c r="E84" s="36">
        <v>5</v>
      </c>
      <c r="F84" s="36">
        <v>1</v>
      </c>
      <c r="G84" s="34"/>
      <c r="H84" s="26" t="s">
        <v>16</v>
      </c>
      <c r="I84" s="36">
        <v>9</v>
      </c>
      <c r="J84" s="36">
        <v>7</v>
      </c>
      <c r="K84" s="36">
        <v>1</v>
      </c>
      <c r="L84" s="36">
        <v>1</v>
      </c>
      <c r="M84" s="36">
        <v>1</v>
      </c>
      <c r="N84" s="34"/>
      <c r="O84" s="26" t="s">
        <v>16</v>
      </c>
      <c r="P84" s="36">
        <v>5</v>
      </c>
      <c r="Q84" s="36">
        <v>5</v>
      </c>
      <c r="R84" s="36">
        <v>1</v>
      </c>
      <c r="S84" s="36">
        <f>1/T83</f>
        <v>0.5</v>
      </c>
      <c r="T84" s="36">
        <v>1</v>
      </c>
      <c r="U84" s="34"/>
      <c r="V84" s="10"/>
    </row>
    <row r="85" spans="1:22" ht="15.75" customHeight="1" x14ac:dyDescent="0.2">
      <c r="A85" s="34"/>
      <c r="B85" s="34"/>
      <c r="C85" s="34"/>
      <c r="D85" s="34"/>
      <c r="E85" s="34"/>
      <c r="F85" s="34"/>
      <c r="G85" s="34"/>
      <c r="H85" s="35"/>
      <c r="I85" s="35"/>
      <c r="J85" s="35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10"/>
    </row>
    <row r="86" spans="1:22" ht="15.75" customHeight="1" x14ac:dyDescent="0.2">
      <c r="A86" s="3" t="s">
        <v>30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4"/>
      <c r="V86" s="10"/>
    </row>
    <row r="87" spans="1:22" ht="15.75" customHeight="1" x14ac:dyDescent="0.2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10"/>
    </row>
    <row r="88" spans="1:22" ht="34.5" customHeight="1" x14ac:dyDescent="0.2">
      <c r="A88" s="28" t="s">
        <v>5</v>
      </c>
      <c r="B88" s="26" t="s">
        <v>12</v>
      </c>
      <c r="C88" s="26" t="s">
        <v>13</v>
      </c>
      <c r="D88" s="26" t="s">
        <v>14</v>
      </c>
      <c r="E88" s="26" t="s">
        <v>15</v>
      </c>
      <c r="F88" s="26" t="s">
        <v>16</v>
      </c>
      <c r="G88" s="34"/>
      <c r="H88" s="37" t="s">
        <v>19</v>
      </c>
      <c r="I88" s="37" t="s">
        <v>20</v>
      </c>
      <c r="J88" s="31" t="s">
        <v>21</v>
      </c>
      <c r="K88" s="37" t="s">
        <v>22</v>
      </c>
      <c r="L88" s="31" t="s">
        <v>23</v>
      </c>
      <c r="M88" s="34"/>
      <c r="N88" s="18" t="s">
        <v>24</v>
      </c>
      <c r="O88" s="26" t="s">
        <v>12</v>
      </c>
      <c r="P88" s="26" t="s">
        <v>13</v>
      </c>
      <c r="Q88" s="26" t="s">
        <v>14</v>
      </c>
      <c r="R88" s="26" t="s">
        <v>15</v>
      </c>
      <c r="S88" s="26" t="s">
        <v>16</v>
      </c>
      <c r="T88" s="21" t="s">
        <v>8</v>
      </c>
      <c r="U88" s="21" t="s">
        <v>9</v>
      </c>
      <c r="V88" s="10"/>
    </row>
    <row r="89" spans="1:22" ht="36.75" customHeight="1" x14ac:dyDescent="0.2">
      <c r="A89" s="26" t="s">
        <v>12</v>
      </c>
      <c r="B89" s="38">
        <f t="shared" ref="B89:F93" si="4">POWER(B80*I80*P80,1/3)</f>
        <v>1</v>
      </c>
      <c r="C89" s="38">
        <f t="shared" si="4"/>
        <v>0.41491326668312167</v>
      </c>
      <c r="D89" s="38">
        <f t="shared" si="4"/>
        <v>0.14697037943612309</v>
      </c>
      <c r="E89" s="38">
        <f t="shared" si="4"/>
        <v>0.18344040271636813</v>
      </c>
      <c r="F89" s="38">
        <f t="shared" si="4"/>
        <v>0.15471962778709264</v>
      </c>
      <c r="G89" s="34"/>
      <c r="H89" s="39">
        <v>1</v>
      </c>
      <c r="I89" s="39">
        <f t="array" ref="I89:I93">MMULT(B89:F93,H89:H93)/MMULT(TRANSPOSE(H89:H93),MMULT(B89:F93,H89:H93))</f>
        <v>4.5335225027096845E-2</v>
      </c>
      <c r="J89" s="39">
        <f t="array" ref="J89">MMULT(TRANSPOSE(H89:H93),MMULT(B89:F93,I89:I93))</f>
        <v>5.025998503072481</v>
      </c>
      <c r="K89" s="39">
        <f>(J89-5)/(5-1)</f>
        <v>6.499625768120243E-3</v>
      </c>
      <c r="L89" s="32">
        <f>K89/1.12</f>
        <v>5.8032372929645018E-3</v>
      </c>
      <c r="M89" s="34"/>
      <c r="N89" s="26" t="s">
        <v>12</v>
      </c>
      <c r="O89" s="59">
        <f>B89/$B$94</f>
        <v>4.5189773990761614E-2</v>
      </c>
      <c r="P89" s="59">
        <f>C89/$C$94</f>
        <v>4.7913933555236383E-2</v>
      </c>
      <c r="Q89" s="59">
        <f>D89/$D$94</f>
        <v>5.0980955525265916E-2</v>
      </c>
      <c r="R89" s="59">
        <f>E89/$E$94</f>
        <v>4.1496570530899744E-2</v>
      </c>
      <c r="S89" s="59">
        <f>F89/$F$94</f>
        <v>4.0512478813340885E-2</v>
      </c>
      <c r="T89" s="10">
        <f>AVERAGE(O89:S89)</f>
        <v>4.5218742483100913E-2</v>
      </c>
      <c r="U89" s="24">
        <f>AVERAGE(O89:S89)</f>
        <v>4.5218742483100913E-2</v>
      </c>
      <c r="V89" s="10"/>
    </row>
    <row r="90" spans="1:22" ht="15.75" customHeight="1" x14ac:dyDescent="0.2">
      <c r="A90" s="26" t="s">
        <v>13</v>
      </c>
      <c r="B90" s="38">
        <f t="shared" si="4"/>
        <v>2.4101422641752297</v>
      </c>
      <c r="C90" s="38">
        <f t="shared" si="4"/>
        <v>1</v>
      </c>
      <c r="D90" s="38">
        <f t="shared" si="4"/>
        <v>0.30571070873287992</v>
      </c>
      <c r="E90" s="38">
        <f t="shared" si="4"/>
        <v>0.52275795857471019</v>
      </c>
      <c r="F90" s="38">
        <f t="shared" si="4"/>
        <v>0.48528550064051734</v>
      </c>
      <c r="G90" s="34"/>
      <c r="H90" s="39">
        <v>1</v>
      </c>
      <c r="I90" s="39">
        <v>0.11271262360435584</v>
      </c>
      <c r="J90" s="40"/>
      <c r="K90" s="40"/>
      <c r="L90" s="40"/>
      <c r="M90" s="34"/>
      <c r="N90" s="26" t="s">
        <v>13</v>
      </c>
      <c r="O90" s="59">
        <f>B90/$B$94</f>
        <v>0.10891378420366112</v>
      </c>
      <c r="P90" s="59">
        <f>C90/$C$94</f>
        <v>0.11547939630435895</v>
      </c>
      <c r="Q90" s="59">
        <f>D90/$D$94</f>
        <v>0.10604466087183423</v>
      </c>
      <c r="R90" s="59">
        <f>E90/$E$94</f>
        <v>0.11825455121860688</v>
      </c>
      <c r="S90" s="59">
        <f>F90/$F$94</f>
        <v>0.12706932432757967</v>
      </c>
      <c r="T90" s="10">
        <f>AVERAGE(O90:S90)</f>
        <v>0.11515234338520819</v>
      </c>
      <c r="U90" s="24">
        <f>AVERAGE(O90:S90)</f>
        <v>0.11515234338520819</v>
      </c>
      <c r="V90" s="10"/>
    </row>
    <row r="91" spans="1:22" ht="15.75" customHeight="1" x14ac:dyDescent="0.2">
      <c r="A91" s="26" t="s">
        <v>14</v>
      </c>
      <c r="B91" s="38">
        <f t="shared" si="4"/>
        <v>6.8040921159533676</v>
      </c>
      <c r="C91" s="38">
        <f t="shared" si="4"/>
        <v>3.2710663101885888</v>
      </c>
      <c r="D91" s="38">
        <f t="shared" si="4"/>
        <v>1</v>
      </c>
      <c r="E91" s="38">
        <f t="shared" si="4"/>
        <v>1.3572088082974534</v>
      </c>
      <c r="F91" s="38">
        <f t="shared" si="4"/>
        <v>1.4422495703074083</v>
      </c>
      <c r="G91" s="34"/>
      <c r="H91" s="39">
        <v>1</v>
      </c>
      <c r="I91" s="39">
        <v>0.33104969256600925</v>
      </c>
      <c r="J91" s="40"/>
      <c r="K91" s="40"/>
      <c r="L91" s="40"/>
      <c r="M91" s="34"/>
      <c r="N91" s="26" t="s">
        <v>14</v>
      </c>
      <c r="O91" s="59">
        <f>B91/$B$94</f>
        <v>0.30747538493225568</v>
      </c>
      <c r="P91" s="59">
        <f>C91/$C$94</f>
        <v>0.37774076277210522</v>
      </c>
      <c r="Q91" s="59">
        <f>D91/$D$94</f>
        <v>0.34687911755323103</v>
      </c>
      <c r="R91" s="59">
        <f>E91/$E$94</f>
        <v>0.30701802985983279</v>
      </c>
      <c r="S91" s="59">
        <f>F91/$F$94</f>
        <v>0.37764507319673934</v>
      </c>
      <c r="T91" s="10">
        <f>AVERAGE(O91:S91)</f>
        <v>0.34335167366283281</v>
      </c>
      <c r="U91" s="24">
        <f>AVERAGE(O91:S91)</f>
        <v>0.34335167366283281</v>
      </c>
      <c r="V91" s="10"/>
    </row>
    <row r="92" spans="1:22" ht="15.75" customHeight="1" x14ac:dyDescent="0.2">
      <c r="A92" s="26" t="s">
        <v>15</v>
      </c>
      <c r="B92" s="38">
        <f t="shared" si="4"/>
        <v>5.451361778496417</v>
      </c>
      <c r="C92" s="38">
        <f t="shared" si="4"/>
        <v>1.9129311827723889</v>
      </c>
      <c r="D92" s="38">
        <f t="shared" si="4"/>
        <v>0.73680629972807732</v>
      </c>
      <c r="E92" s="38">
        <f t="shared" si="4"/>
        <v>1</v>
      </c>
      <c r="F92" s="38">
        <f t="shared" si="4"/>
        <v>0.73680629972807732</v>
      </c>
      <c r="G92" s="34"/>
      <c r="H92" s="39">
        <v>1</v>
      </c>
      <c r="I92" s="39">
        <v>0.23473337369989156</v>
      </c>
      <c r="J92" s="40"/>
      <c r="K92" s="40"/>
      <c r="L92" s="40"/>
      <c r="M92" s="34"/>
      <c r="N92" s="26" t="s">
        <v>15</v>
      </c>
      <c r="O92" s="59">
        <f>B92/$B$94</f>
        <v>0.24634580671212938</v>
      </c>
      <c r="P92" s="59">
        <f>C92/$C$94</f>
        <v>0.22090413815833881</v>
      </c>
      <c r="Q92" s="59">
        <f>D92/$D$94</f>
        <v>0.25558271905733693</v>
      </c>
      <c r="R92" s="59">
        <f>E92/$E$94</f>
        <v>0.22621281853082775</v>
      </c>
      <c r="S92" s="59">
        <f>F92/$F$94</f>
        <v>0.19292865445841012</v>
      </c>
      <c r="T92" s="10">
        <f>AVERAGE(O92:S92)</f>
        <v>0.22839482738340858</v>
      </c>
      <c r="U92" s="24">
        <f>AVERAGE(O92:S92)</f>
        <v>0.22839482738340858</v>
      </c>
      <c r="V92" s="10"/>
    </row>
    <row r="93" spans="1:22" ht="15.75" customHeight="1" x14ac:dyDescent="0.2">
      <c r="A93" s="26" t="s">
        <v>16</v>
      </c>
      <c r="B93" s="38">
        <f t="shared" si="4"/>
        <v>6.463304070095651</v>
      </c>
      <c r="C93" s="38">
        <f t="shared" si="4"/>
        <v>2.0606426499042785</v>
      </c>
      <c r="D93" s="38">
        <f t="shared" si="4"/>
        <v>0.69336127435063466</v>
      </c>
      <c r="E93" s="38">
        <f t="shared" si="4"/>
        <v>1.3572088082974534</v>
      </c>
      <c r="F93" s="38">
        <f t="shared" si="4"/>
        <v>1</v>
      </c>
      <c r="G93" s="34"/>
      <c r="H93" s="33">
        <v>1</v>
      </c>
      <c r="I93" s="33">
        <v>0.27616908510264659</v>
      </c>
      <c r="J93" s="40"/>
      <c r="K93" s="40"/>
      <c r="L93" s="40"/>
      <c r="M93" s="34"/>
      <c r="N93" s="26" t="s">
        <v>16</v>
      </c>
      <c r="O93" s="59">
        <f>B93/$B$94</f>
        <v>0.29207525016119212</v>
      </c>
      <c r="P93" s="59">
        <f>C93/$C$94</f>
        <v>0.23796176920996059</v>
      </c>
      <c r="Q93" s="59">
        <f>D93/$D$94</f>
        <v>0.24051254699233188</v>
      </c>
      <c r="R93" s="59">
        <f>E93/$E$94</f>
        <v>0.30701802985983279</v>
      </c>
      <c r="S93" s="59">
        <f>F93/$F$94</f>
        <v>0.26184446920392995</v>
      </c>
      <c r="T93" s="10">
        <f>AVERAGE(O93:S93)</f>
        <v>0.26788241308544947</v>
      </c>
      <c r="U93" s="24">
        <f>AVERAGE(O93:S93)</f>
        <v>0.26788241308544947</v>
      </c>
      <c r="V93" s="10"/>
    </row>
    <row r="94" spans="1:22" ht="15.75" customHeight="1" x14ac:dyDescent="0.2">
      <c r="A94" s="17" t="s">
        <v>10</v>
      </c>
      <c r="B94" s="17">
        <f>SUM(B89:B93)</f>
        <v>22.128900228720667</v>
      </c>
      <c r="C94" s="17">
        <f>SUM(C89:C93)</f>
        <v>8.6595534095483782</v>
      </c>
      <c r="D94" s="17">
        <f>SUM(D89:D93)</f>
        <v>2.882848662247715</v>
      </c>
      <c r="E94" s="17">
        <f>SUM(E89:E93)</f>
        <v>4.4206159778859853</v>
      </c>
      <c r="F94" s="17">
        <f>SUM(F89:F93)</f>
        <v>3.8190609984630957</v>
      </c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10"/>
    </row>
    <row r="95" spans="1:22" ht="15.75" customHeight="1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</row>
    <row r="96" spans="1:22" ht="15.75" customHeight="1" x14ac:dyDescent="0.2">
      <c r="A96" s="2" t="s">
        <v>31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34"/>
      <c r="V96" s="10"/>
    </row>
    <row r="97" spans="1:22" ht="9.75" customHeight="1" x14ac:dyDescent="0.2">
      <c r="A97" s="35"/>
      <c r="B97" s="35"/>
      <c r="C97" s="35"/>
      <c r="D97" s="35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10"/>
    </row>
    <row r="98" spans="1:22" ht="33.75" customHeight="1" x14ac:dyDescent="0.2">
      <c r="A98" s="25" t="s">
        <v>6</v>
      </c>
      <c r="B98" s="26" t="s">
        <v>12</v>
      </c>
      <c r="C98" s="26" t="s">
        <v>13</v>
      </c>
      <c r="D98" s="26" t="s">
        <v>14</v>
      </c>
      <c r="E98" s="26" t="s">
        <v>15</v>
      </c>
      <c r="F98" s="26" t="s">
        <v>16</v>
      </c>
      <c r="G98" s="34"/>
      <c r="H98" s="25" t="s">
        <v>6</v>
      </c>
      <c r="I98" s="26" t="s">
        <v>12</v>
      </c>
      <c r="J98" s="26" t="s">
        <v>13</v>
      </c>
      <c r="K98" s="26" t="s">
        <v>14</v>
      </c>
      <c r="L98" s="26" t="s">
        <v>15</v>
      </c>
      <c r="M98" s="26" t="s">
        <v>16</v>
      </c>
      <c r="N98" s="34"/>
      <c r="O98" s="25" t="s">
        <v>6</v>
      </c>
      <c r="P98" s="26" t="s">
        <v>12</v>
      </c>
      <c r="Q98" s="26" t="s">
        <v>13</v>
      </c>
      <c r="R98" s="26" t="s">
        <v>14</v>
      </c>
      <c r="S98" s="26" t="s">
        <v>15</v>
      </c>
      <c r="T98" s="26" t="s">
        <v>16</v>
      </c>
      <c r="U98" s="34"/>
      <c r="V98" s="10"/>
    </row>
    <row r="99" spans="1:22" ht="15.75" customHeight="1" x14ac:dyDescent="0.25">
      <c r="A99" s="26" t="s">
        <v>12</v>
      </c>
      <c r="B99" s="27">
        <v>1</v>
      </c>
      <c r="C99" s="27">
        <f>1/B100</f>
        <v>0.33333333333333331</v>
      </c>
      <c r="D99" s="27">
        <f>4</f>
        <v>4</v>
      </c>
      <c r="E99" s="27">
        <f>1/B102</f>
        <v>0.25</v>
      </c>
      <c r="F99" s="27">
        <f>1/B103</f>
        <v>0.33333333333333331</v>
      </c>
      <c r="G99" s="34"/>
      <c r="H99" s="26" t="s">
        <v>12</v>
      </c>
      <c r="I99" s="36">
        <v>1</v>
      </c>
      <c r="J99" s="36">
        <f>1/I100</f>
        <v>0.33333333333333331</v>
      </c>
      <c r="K99" s="36">
        <f>2</f>
        <v>2</v>
      </c>
      <c r="L99" s="36">
        <f>1/I102</f>
        <v>0.5</v>
      </c>
      <c r="M99" s="36">
        <f>5</f>
        <v>5</v>
      </c>
      <c r="N99" s="34"/>
      <c r="O99" s="26" t="s">
        <v>12</v>
      </c>
      <c r="P99" s="36">
        <v>1</v>
      </c>
      <c r="Q99" s="36">
        <f>1/P100</f>
        <v>0.25</v>
      </c>
      <c r="R99" s="36">
        <f>3</f>
        <v>3</v>
      </c>
      <c r="S99" s="36">
        <f>1/P102</f>
        <v>0.2</v>
      </c>
      <c r="T99" s="36">
        <f>1/P103</f>
        <v>0.25</v>
      </c>
      <c r="U99" s="34"/>
      <c r="V99" s="10"/>
    </row>
    <row r="100" spans="1:22" ht="15.75" customHeight="1" x14ac:dyDescent="0.25">
      <c r="A100" s="26" t="s">
        <v>13</v>
      </c>
      <c r="B100" s="27">
        <f>3</f>
        <v>3</v>
      </c>
      <c r="C100" s="27">
        <v>1</v>
      </c>
      <c r="D100" s="27">
        <f>7</f>
        <v>7</v>
      </c>
      <c r="E100" s="27">
        <f>2</f>
        <v>2</v>
      </c>
      <c r="F100" s="27">
        <f>3</f>
        <v>3</v>
      </c>
      <c r="G100" s="34"/>
      <c r="H100" s="26" t="s">
        <v>13</v>
      </c>
      <c r="I100" s="36">
        <f>3</f>
        <v>3</v>
      </c>
      <c r="J100" s="36">
        <v>1</v>
      </c>
      <c r="K100" s="36">
        <f>7</f>
        <v>7</v>
      </c>
      <c r="L100" s="36">
        <f>2</f>
        <v>2</v>
      </c>
      <c r="M100" s="36">
        <f>5</f>
        <v>5</v>
      </c>
      <c r="N100" s="34"/>
      <c r="O100" s="26" t="s">
        <v>13</v>
      </c>
      <c r="P100" s="36">
        <f>4</f>
        <v>4</v>
      </c>
      <c r="Q100" s="36">
        <v>1</v>
      </c>
      <c r="R100" s="36">
        <f>9</f>
        <v>9</v>
      </c>
      <c r="S100" s="36">
        <f>3</f>
        <v>3</v>
      </c>
      <c r="T100" s="36">
        <f>2</f>
        <v>2</v>
      </c>
      <c r="U100" s="34"/>
      <c r="V100" s="10"/>
    </row>
    <row r="101" spans="1:22" ht="15.75" customHeight="1" x14ac:dyDescent="0.25">
      <c r="A101" s="26" t="s">
        <v>14</v>
      </c>
      <c r="B101" s="27">
        <f>1/D99</f>
        <v>0.25</v>
      </c>
      <c r="C101" s="27">
        <f>1/D100</f>
        <v>0.14285714285714285</v>
      </c>
      <c r="D101" s="27">
        <v>1</v>
      </c>
      <c r="E101" s="27">
        <f>1/D102</f>
        <v>0.1111111111111111</v>
      </c>
      <c r="F101" s="27">
        <f>1/D103</f>
        <v>0.25</v>
      </c>
      <c r="G101" s="34"/>
      <c r="H101" s="26" t="s">
        <v>14</v>
      </c>
      <c r="I101" s="36">
        <f>1/K99</f>
        <v>0.5</v>
      </c>
      <c r="J101" s="36">
        <f>1/K100</f>
        <v>0.14285714285714285</v>
      </c>
      <c r="K101" s="36">
        <v>1</v>
      </c>
      <c r="L101" s="36">
        <f>1/K102</f>
        <v>0.14285714285714285</v>
      </c>
      <c r="M101" s="36">
        <f>1/K103</f>
        <v>0.5</v>
      </c>
      <c r="N101" s="34"/>
      <c r="O101" s="26" t="s">
        <v>14</v>
      </c>
      <c r="P101" s="36">
        <f>1/R99</f>
        <v>0.33333333333333331</v>
      </c>
      <c r="Q101" s="36">
        <f>1/R100</f>
        <v>0.1111111111111111</v>
      </c>
      <c r="R101" s="36">
        <v>1</v>
      </c>
      <c r="S101" s="36">
        <f>1/R102</f>
        <v>0.14285714285714285</v>
      </c>
      <c r="T101" s="36">
        <f>1/R103</f>
        <v>0.14285714285714285</v>
      </c>
      <c r="U101" s="34"/>
      <c r="V101" s="10"/>
    </row>
    <row r="102" spans="1:22" ht="15.75" customHeight="1" x14ac:dyDescent="0.25">
      <c r="A102" s="26" t="s">
        <v>15</v>
      </c>
      <c r="B102" s="27">
        <f>4</f>
        <v>4</v>
      </c>
      <c r="C102" s="27">
        <f>1/E100</f>
        <v>0.5</v>
      </c>
      <c r="D102" s="27">
        <f>9</f>
        <v>9</v>
      </c>
      <c r="E102" s="27">
        <v>1</v>
      </c>
      <c r="F102" s="27">
        <f>3</f>
        <v>3</v>
      </c>
      <c r="G102" s="34"/>
      <c r="H102" s="26" t="s">
        <v>15</v>
      </c>
      <c r="I102" s="36">
        <f>2</f>
        <v>2</v>
      </c>
      <c r="J102" s="36">
        <f>1/L100</f>
        <v>0.5</v>
      </c>
      <c r="K102" s="36">
        <f>7</f>
        <v>7</v>
      </c>
      <c r="L102" s="36">
        <v>1</v>
      </c>
      <c r="M102" s="36">
        <f>5</f>
        <v>5</v>
      </c>
      <c r="N102" s="34"/>
      <c r="O102" s="26" t="s">
        <v>15</v>
      </c>
      <c r="P102" s="36">
        <f>5</f>
        <v>5</v>
      </c>
      <c r="Q102" s="36">
        <f>1/S100</f>
        <v>0.33333333333333331</v>
      </c>
      <c r="R102" s="36">
        <f>7</f>
        <v>7</v>
      </c>
      <c r="S102" s="36">
        <v>1</v>
      </c>
      <c r="T102" s="36">
        <f>1/S103</f>
        <v>0.5</v>
      </c>
      <c r="U102" s="34"/>
      <c r="V102" s="10"/>
    </row>
    <row r="103" spans="1:22" ht="15.75" customHeight="1" x14ac:dyDescent="0.25">
      <c r="A103" s="26" t="s">
        <v>16</v>
      </c>
      <c r="B103" s="27">
        <f>3</f>
        <v>3</v>
      </c>
      <c r="C103" s="27">
        <f>1/F100</f>
        <v>0.33333333333333331</v>
      </c>
      <c r="D103" s="27">
        <f>4</f>
        <v>4</v>
      </c>
      <c r="E103" s="27">
        <f>1/F102</f>
        <v>0.33333333333333331</v>
      </c>
      <c r="F103" s="27">
        <v>1</v>
      </c>
      <c r="G103" s="34"/>
      <c r="H103" s="26" t="s">
        <v>16</v>
      </c>
      <c r="I103" s="36">
        <f>1/M99</f>
        <v>0.2</v>
      </c>
      <c r="J103" s="36">
        <f>1/M100</f>
        <v>0.2</v>
      </c>
      <c r="K103" s="36">
        <f>2</f>
        <v>2</v>
      </c>
      <c r="L103" s="36">
        <f>1/M102</f>
        <v>0.2</v>
      </c>
      <c r="M103" s="36">
        <v>1</v>
      </c>
      <c r="N103" s="34"/>
      <c r="O103" s="26" t="s">
        <v>16</v>
      </c>
      <c r="P103" s="36">
        <f>4</f>
        <v>4</v>
      </c>
      <c r="Q103" s="36">
        <f>1/T100</f>
        <v>0.5</v>
      </c>
      <c r="R103" s="36">
        <f>7</f>
        <v>7</v>
      </c>
      <c r="S103" s="36">
        <f>2</f>
        <v>2</v>
      </c>
      <c r="T103" s="36">
        <v>1</v>
      </c>
      <c r="U103" s="34"/>
      <c r="V103" s="10"/>
    </row>
    <row r="104" spans="1:22" ht="15.75" customHeight="1" x14ac:dyDescent="0.2">
      <c r="A104" s="34"/>
      <c r="B104" s="34"/>
      <c r="C104" s="34"/>
      <c r="D104" s="34"/>
      <c r="E104" s="34"/>
      <c r="F104" s="34"/>
      <c r="G104" s="34"/>
      <c r="H104" s="35"/>
      <c r="I104" s="35"/>
      <c r="J104" s="35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10"/>
    </row>
    <row r="105" spans="1:22" ht="15.75" customHeight="1" x14ac:dyDescent="0.2">
      <c r="A105" s="2" t="s">
        <v>32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34"/>
      <c r="V105" s="10"/>
    </row>
    <row r="106" spans="1:22" ht="15.75" customHeight="1" x14ac:dyDescent="0.2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10"/>
    </row>
    <row r="107" spans="1:22" ht="30" customHeight="1" x14ac:dyDescent="0.2">
      <c r="A107" s="28" t="s">
        <v>6</v>
      </c>
      <c r="B107" s="26" t="s">
        <v>12</v>
      </c>
      <c r="C107" s="26" t="s">
        <v>13</v>
      </c>
      <c r="D107" s="26" t="s">
        <v>14</v>
      </c>
      <c r="E107" s="26" t="s">
        <v>15</v>
      </c>
      <c r="F107" s="26" t="s">
        <v>16</v>
      </c>
      <c r="G107" s="34"/>
      <c r="H107" s="37" t="s">
        <v>19</v>
      </c>
      <c r="I107" s="37" t="s">
        <v>20</v>
      </c>
      <c r="J107" s="31" t="s">
        <v>21</v>
      </c>
      <c r="K107" s="37" t="s">
        <v>22</v>
      </c>
      <c r="L107" s="31" t="s">
        <v>23</v>
      </c>
      <c r="M107" s="34"/>
      <c r="N107" s="18" t="s">
        <v>24</v>
      </c>
      <c r="O107" s="26" t="s">
        <v>12</v>
      </c>
      <c r="P107" s="26" t="s">
        <v>13</v>
      </c>
      <c r="Q107" s="26" t="s">
        <v>14</v>
      </c>
      <c r="R107" s="26" t="s">
        <v>15</v>
      </c>
      <c r="S107" s="26" t="s">
        <v>16</v>
      </c>
      <c r="T107" s="21" t="s">
        <v>8</v>
      </c>
      <c r="U107" s="21" t="s">
        <v>9</v>
      </c>
      <c r="V107" s="10"/>
    </row>
    <row r="108" spans="1:22" ht="15.75" customHeight="1" x14ac:dyDescent="0.2">
      <c r="A108" s="26" t="s">
        <v>12</v>
      </c>
      <c r="B108" s="38">
        <f t="shared" ref="B108:F112" si="5">POWER(B99*I99*P99,1/3)</f>
        <v>1</v>
      </c>
      <c r="C108" s="38">
        <f t="shared" si="5"/>
        <v>0.30285343213868998</v>
      </c>
      <c r="D108" s="38">
        <f t="shared" si="5"/>
        <v>2.8844991406148166</v>
      </c>
      <c r="E108" s="38">
        <f t="shared" si="5"/>
        <v>0.29240177382128663</v>
      </c>
      <c r="F108" s="38">
        <f t="shared" si="5"/>
        <v>0.74690079109286078</v>
      </c>
      <c r="G108" s="34"/>
      <c r="H108" s="39">
        <v>1</v>
      </c>
      <c r="I108" s="39">
        <f t="array" ref="I108:I112">MMULT(B108:F112,H108:H112)/MMULT(TRANSPOSE(H108:H112),MMULT(B108:F112,H108:H112))</f>
        <v>0.11404194309294796</v>
      </c>
      <c r="J108" s="39">
        <f t="array" ref="J108">MMULT(TRANSPOSE(H108:H112),MMULT(B108:F112,I108:I112))</f>
        <v>5.2466942903129352</v>
      </c>
      <c r="K108" s="39">
        <f>(J108-5)/(5-1)</f>
        <v>6.1673572578233804E-2</v>
      </c>
      <c r="L108" s="32">
        <f>K108/1.12</f>
        <v>5.5065689801994465E-2</v>
      </c>
      <c r="M108" s="34"/>
      <c r="N108" s="26" t="s">
        <v>12</v>
      </c>
      <c r="O108" s="59">
        <f>B108/$B$113</f>
        <v>0.10629900613191232</v>
      </c>
      <c r="P108" s="59">
        <f>C108/$C$113</f>
        <v>0.13810945641431235</v>
      </c>
      <c r="Q108" s="59">
        <f>D108/$D$113</f>
        <v>0.12577564064603414</v>
      </c>
      <c r="R108" s="59">
        <f>E108/$E$113</f>
        <v>6.9222584648479885E-2</v>
      </c>
      <c r="S108" s="59">
        <f>F108/$F$113</f>
        <v>0.10559967245024891</v>
      </c>
      <c r="T108" s="10">
        <f>AVERAGE(O108:S108)</f>
        <v>0.10900127205819751</v>
      </c>
      <c r="U108" s="24">
        <f>AVERAGE(O108:S108)</f>
        <v>0.10900127205819751</v>
      </c>
      <c r="V108" s="10"/>
    </row>
    <row r="109" spans="1:22" ht="15.75" customHeight="1" x14ac:dyDescent="0.2">
      <c r="A109" s="26" t="s">
        <v>13</v>
      </c>
      <c r="B109" s="38">
        <f t="shared" si="5"/>
        <v>3.3019272488946263</v>
      </c>
      <c r="C109" s="38">
        <f t="shared" si="5"/>
        <v>1</v>
      </c>
      <c r="D109" s="38">
        <f t="shared" si="5"/>
        <v>7.611662611020245</v>
      </c>
      <c r="E109" s="38">
        <f t="shared" si="5"/>
        <v>2.2894284851066637</v>
      </c>
      <c r="F109" s="38">
        <f t="shared" si="5"/>
        <v>3.1072325059538586</v>
      </c>
      <c r="G109" s="34"/>
      <c r="H109" s="39">
        <v>1</v>
      </c>
      <c r="I109" s="39">
        <v>0.3776975121707592</v>
      </c>
      <c r="J109" s="40"/>
      <c r="K109" s="40"/>
      <c r="L109" s="40"/>
      <c r="M109" s="34"/>
      <c r="N109" s="26" t="s">
        <v>13</v>
      </c>
      <c r="O109" s="59">
        <f>B109/$B$113</f>
        <v>0.35099158487737825</v>
      </c>
      <c r="P109" s="59">
        <f>C109/$C$113</f>
        <v>0.45602737746444272</v>
      </c>
      <c r="Q109" s="59">
        <f>D109/$D$113</f>
        <v>0.33189877847510102</v>
      </c>
      <c r="R109" s="59">
        <f>E109/$E$113</f>
        <v>0.54199451335681292</v>
      </c>
      <c r="S109" s="59">
        <f>F109/$F$113</f>
        <v>0.43931234076668518</v>
      </c>
      <c r="T109" s="10">
        <f>AVERAGE(O109:S109)</f>
        <v>0.424044918988084</v>
      </c>
      <c r="U109" s="24">
        <f>AVERAGE(O109:S109)</f>
        <v>0.424044918988084</v>
      </c>
      <c r="V109" s="10"/>
    </row>
    <row r="110" spans="1:22" ht="15.75" customHeight="1" x14ac:dyDescent="0.2">
      <c r="A110" s="26" t="s">
        <v>14</v>
      </c>
      <c r="B110" s="38">
        <f t="shared" si="5"/>
        <v>0.34668063717531739</v>
      </c>
      <c r="C110" s="38">
        <f t="shared" si="5"/>
        <v>0.13137734173243432</v>
      </c>
      <c r="D110" s="38">
        <f t="shared" si="5"/>
        <v>1</v>
      </c>
      <c r="E110" s="38">
        <f t="shared" si="5"/>
        <v>0.13137734173243432</v>
      </c>
      <c r="F110" s="38">
        <f t="shared" si="5"/>
        <v>0.2613789792873551</v>
      </c>
      <c r="G110" s="34"/>
      <c r="H110" s="39">
        <v>1</v>
      </c>
      <c r="I110" s="39">
        <v>4.081985367510127E-2</v>
      </c>
      <c r="J110" s="40"/>
      <c r="K110" s="40"/>
      <c r="L110" s="40"/>
      <c r="M110" s="34"/>
      <c r="N110" s="26" t="s">
        <v>14</v>
      </c>
      <c r="O110" s="59">
        <f>B110/$B$113</f>
        <v>3.6851807176914331E-2</v>
      </c>
      <c r="P110" s="59">
        <f>C110/$C$113</f>
        <v>5.9911664608491906E-2</v>
      </c>
      <c r="Q110" s="59">
        <f>D110/$D$113</f>
        <v>4.3603979240300864E-2</v>
      </c>
      <c r="R110" s="59">
        <f>E110/$E$113</f>
        <v>3.1101997228389067E-2</v>
      </c>
      <c r="S110" s="59">
        <f>F110/$F$113</f>
        <v>3.6954753465635905E-2</v>
      </c>
      <c r="T110" s="10">
        <f>AVERAGE(O110:S110)</f>
        <v>4.1684840343946414E-2</v>
      </c>
      <c r="U110" s="24">
        <f>AVERAGE(O110:S110)</f>
        <v>4.1684840343946414E-2</v>
      </c>
      <c r="V110" s="10"/>
    </row>
    <row r="111" spans="1:22" ht="15.75" customHeight="1" x14ac:dyDescent="0.2">
      <c r="A111" s="26" t="s">
        <v>15</v>
      </c>
      <c r="B111" s="38">
        <f t="shared" si="5"/>
        <v>3.4199518933533941</v>
      </c>
      <c r="C111" s="38">
        <f t="shared" si="5"/>
        <v>0.4367902323681494</v>
      </c>
      <c r="D111" s="38">
        <f t="shared" si="5"/>
        <v>7.611662611020245</v>
      </c>
      <c r="E111" s="38">
        <f t="shared" si="5"/>
        <v>1</v>
      </c>
      <c r="F111" s="38">
        <f t="shared" si="5"/>
        <v>1.9574338205844317</v>
      </c>
      <c r="G111" s="34"/>
      <c r="H111" s="39">
        <v>1</v>
      </c>
      <c r="I111" s="39">
        <v>0.31476166238065301</v>
      </c>
      <c r="J111" s="40"/>
      <c r="K111" s="40"/>
      <c r="L111" s="40"/>
      <c r="M111" s="34"/>
      <c r="N111" s="26" t="s">
        <v>15</v>
      </c>
      <c r="O111" s="59">
        <f>B111/$B$113</f>
        <v>0.36353748728241758</v>
      </c>
      <c r="P111" s="59">
        <f>C111/$C$113</f>
        <v>0.19918830416893171</v>
      </c>
      <c r="Q111" s="59">
        <f>D111/$D$113</f>
        <v>0.33189877847510102</v>
      </c>
      <c r="R111" s="59">
        <f>E111/$E$113</f>
        <v>0.23673790943138437</v>
      </c>
      <c r="S111" s="59">
        <f>F111/$F$113</f>
        <v>0.27674943280526815</v>
      </c>
      <c r="T111" s="10">
        <f>AVERAGE(O111:S111)</f>
        <v>0.28162238243262061</v>
      </c>
      <c r="U111" s="24">
        <f>AVERAGE(O111:S111)</f>
        <v>0.28162238243262061</v>
      </c>
      <c r="V111" s="10"/>
    </row>
    <row r="112" spans="1:22" ht="15.75" customHeight="1" x14ac:dyDescent="0.2">
      <c r="A112" s="26" t="s">
        <v>16</v>
      </c>
      <c r="B112" s="38">
        <f t="shared" si="5"/>
        <v>1.338865900164339</v>
      </c>
      <c r="C112" s="38">
        <f t="shared" si="5"/>
        <v>0.32182979486854324</v>
      </c>
      <c r="D112" s="38">
        <f t="shared" si="5"/>
        <v>3.8258623655447783</v>
      </c>
      <c r="E112" s="38">
        <f t="shared" si="5"/>
        <v>0.51087295492903539</v>
      </c>
      <c r="F112" s="38">
        <f t="shared" si="5"/>
        <v>1</v>
      </c>
      <c r="G112" s="34"/>
      <c r="H112" s="33">
        <v>1</v>
      </c>
      <c r="I112" s="33">
        <v>0.15267902868053851</v>
      </c>
      <c r="J112" s="40"/>
      <c r="K112" s="40"/>
      <c r="L112" s="40"/>
      <c r="M112" s="34"/>
      <c r="N112" s="26" t="s">
        <v>16</v>
      </c>
      <c r="O112" s="59">
        <f>B112/$B$113</f>
        <v>0.14232011453137738</v>
      </c>
      <c r="P112" s="59">
        <f>C112/$C$113</f>
        <v>0.14676319734382134</v>
      </c>
      <c r="Q112" s="59">
        <f>D112/$D$113</f>
        <v>0.16682282316346286</v>
      </c>
      <c r="R112" s="59">
        <f>E112/$E$113</f>
        <v>0.12094299533493369</v>
      </c>
      <c r="S112" s="59">
        <f>F112/$F$113</f>
        <v>0.14138380051216187</v>
      </c>
      <c r="T112" s="10">
        <f>AVERAGE(O112:S112)</f>
        <v>0.14364658617715143</v>
      </c>
      <c r="U112" s="24">
        <f>AVERAGE(O112:S112)</f>
        <v>0.14364658617715143</v>
      </c>
      <c r="V112" s="10"/>
    </row>
    <row r="113" spans="1:22" ht="15.75" customHeight="1" x14ac:dyDescent="0.2">
      <c r="A113" s="17" t="s">
        <v>10</v>
      </c>
      <c r="B113" s="17">
        <f>SUM(B108:B112)</f>
        <v>9.4074256795876785</v>
      </c>
      <c r="C113" s="17">
        <f>SUM(C108:C112)</f>
        <v>2.1928508011078169</v>
      </c>
      <c r="D113" s="17">
        <f>SUM(D108:D112)</f>
        <v>22.933686728200087</v>
      </c>
      <c r="E113" s="17">
        <f>SUM(E108:E112)</f>
        <v>4.2240805555894205</v>
      </c>
      <c r="F113" s="17">
        <f>SUM(F108:F112)</f>
        <v>7.0729460969185061</v>
      </c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10"/>
    </row>
    <row r="114" spans="1:22" ht="15.75" customHeight="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</row>
    <row r="115" spans="1:22" ht="15.75" customHeight="1" x14ac:dyDescent="0.2">
      <c r="A115" s="1" t="s">
        <v>33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0"/>
      <c r="V115" s="10"/>
    </row>
    <row r="116" spans="1:22" ht="15.75" customHeight="1" x14ac:dyDescent="0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</row>
    <row r="117" spans="1:22" ht="15.75" customHeight="1" x14ac:dyDescent="0.2">
      <c r="A117" s="33" t="s">
        <v>34</v>
      </c>
      <c r="B117" s="41" t="s">
        <v>2</v>
      </c>
      <c r="C117" s="41" t="s">
        <v>3</v>
      </c>
      <c r="D117" s="41" t="s">
        <v>4</v>
      </c>
      <c r="E117" s="41" t="s">
        <v>5</v>
      </c>
      <c r="F117" s="41" t="s">
        <v>6</v>
      </c>
      <c r="G117" s="10"/>
      <c r="H117" s="42" t="s">
        <v>35</v>
      </c>
      <c r="I117" s="42" t="s">
        <v>34</v>
      </c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</row>
    <row r="118" spans="1:22" ht="57" customHeight="1" x14ac:dyDescent="0.2">
      <c r="A118" s="43" t="s">
        <v>12</v>
      </c>
      <c r="B118" s="33">
        <f>T32</f>
        <v>5.4168147646191309E-2</v>
      </c>
      <c r="C118" s="33">
        <f>T51</f>
        <v>0.11713378599348845</v>
      </c>
      <c r="D118" s="33">
        <f>T70</f>
        <v>0.13064428446676576</v>
      </c>
      <c r="E118" s="33">
        <f>T89</f>
        <v>4.5218742483100913E-2</v>
      </c>
      <c r="F118" s="33">
        <f>T108</f>
        <v>0.10900127205819751</v>
      </c>
      <c r="G118" s="10"/>
      <c r="H118" s="33" t="s">
        <v>2</v>
      </c>
      <c r="I118" s="33">
        <f>N13</f>
        <v>0.15508317448619804</v>
      </c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</row>
    <row r="119" spans="1:22" ht="28.5" customHeight="1" x14ac:dyDescent="0.2">
      <c r="A119" s="43" t="s">
        <v>13</v>
      </c>
      <c r="B119" s="33">
        <f>T33</f>
        <v>0.10612744438361447</v>
      </c>
      <c r="C119" s="33">
        <f>T52</f>
        <v>0.27315490935685999</v>
      </c>
      <c r="D119" s="33">
        <f>T71</f>
        <v>0.3354209310110754</v>
      </c>
      <c r="E119" s="33">
        <f>T90</f>
        <v>0.11515234338520819</v>
      </c>
      <c r="F119" s="33">
        <f>T109</f>
        <v>0.424044918988084</v>
      </c>
      <c r="G119" s="10"/>
      <c r="H119" s="33" t="s">
        <v>3</v>
      </c>
      <c r="I119" s="33">
        <f>N14</f>
        <v>0.23318845816113637</v>
      </c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</row>
    <row r="120" spans="1:22" ht="15.75" customHeight="1" x14ac:dyDescent="0.2">
      <c r="A120" s="43" t="s">
        <v>14</v>
      </c>
      <c r="B120" s="33">
        <f>T34</f>
        <v>0.37516704001958151</v>
      </c>
      <c r="C120" s="33">
        <f>T53</f>
        <v>0.30249519618700832</v>
      </c>
      <c r="D120" s="33">
        <f>T72</f>
        <v>0.1059573420973265</v>
      </c>
      <c r="E120" s="33">
        <f>T91</f>
        <v>0.34335167366283281</v>
      </c>
      <c r="F120" s="33">
        <f>T110</f>
        <v>4.1684840343946414E-2</v>
      </c>
      <c r="G120" s="10"/>
      <c r="H120" s="33" t="s">
        <v>4</v>
      </c>
      <c r="I120" s="33">
        <f>N15</f>
        <v>0.19794275667212849</v>
      </c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</row>
    <row r="121" spans="1:22" ht="15.75" customHeight="1" x14ac:dyDescent="0.2">
      <c r="A121" s="43" t="s">
        <v>15</v>
      </c>
      <c r="B121" s="33">
        <f>T35</f>
        <v>7.6653286010664928E-2</v>
      </c>
      <c r="C121" s="33">
        <f>T54</f>
        <v>3.7499357423501703E-2</v>
      </c>
      <c r="D121" s="33">
        <f>T73</f>
        <v>0.19079401099099544</v>
      </c>
      <c r="E121" s="33">
        <f>T92</f>
        <v>0.22839482738340858</v>
      </c>
      <c r="F121" s="33">
        <f>T111</f>
        <v>0.28162238243262061</v>
      </c>
      <c r="G121" s="10"/>
      <c r="H121" s="33" t="s">
        <v>5</v>
      </c>
      <c r="I121" s="33">
        <f>N16</f>
        <v>0.25528965814434168</v>
      </c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</row>
    <row r="122" spans="1:22" ht="35.25" customHeight="1" x14ac:dyDescent="0.2">
      <c r="A122" s="43" t="s">
        <v>16</v>
      </c>
      <c r="B122" s="33">
        <f>T36</f>
        <v>0.38788408193994772</v>
      </c>
      <c r="C122" s="33">
        <f>T55</f>
        <v>0.26971675103914156</v>
      </c>
      <c r="D122" s="33">
        <f>T74</f>
        <v>0.23718343143383688</v>
      </c>
      <c r="E122" s="33">
        <f>T93</f>
        <v>0.26788241308544947</v>
      </c>
      <c r="F122" s="33">
        <f>T112</f>
        <v>0.14364658617715143</v>
      </c>
      <c r="G122" s="10"/>
      <c r="H122" s="33" t="s">
        <v>6</v>
      </c>
      <c r="I122" s="33">
        <f>N17</f>
        <v>0.15849595253619539</v>
      </c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</row>
    <row r="123" spans="1:22" ht="15.75" customHeight="1" x14ac:dyDescent="0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</row>
    <row r="124" spans="1:22" ht="37.5" customHeight="1" x14ac:dyDescent="0.2">
      <c r="A124" s="44" t="s">
        <v>36</v>
      </c>
      <c r="B124" s="45" t="s">
        <v>8</v>
      </c>
      <c r="C124" s="45" t="s">
        <v>9</v>
      </c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</row>
    <row r="125" spans="1:22" ht="15.75" customHeight="1" x14ac:dyDescent="0.2">
      <c r="A125" s="46" t="s">
        <v>12</v>
      </c>
      <c r="B125" s="47">
        <f t="array" ref="B125:B129">MMULT(B118:F122,I118:I122)</f>
        <v>9.0395042810964707E-2</v>
      </c>
      <c r="C125" s="48">
        <f>B125</f>
        <v>9.0395042810964707E-2</v>
      </c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</row>
    <row r="126" spans="1:22" ht="15.75" customHeight="1" x14ac:dyDescent="0.2">
      <c r="A126" s="46" t="s">
        <v>13</v>
      </c>
      <c r="B126" s="53">
        <v>0.24315590258753342</v>
      </c>
      <c r="C126" s="54">
        <f>B126</f>
        <v>0.24315590258753342</v>
      </c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</row>
    <row r="127" spans="1:22" ht="15.75" customHeight="1" x14ac:dyDescent="0.2">
      <c r="A127" s="49" t="s">
        <v>14</v>
      </c>
      <c r="B127" s="50">
        <v>0.2439549821825279</v>
      </c>
      <c r="C127" s="51">
        <f>B127</f>
        <v>0.2439549821825279</v>
      </c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</row>
    <row r="128" spans="1:22" ht="15.75" customHeight="1" thickBot="1" x14ac:dyDescent="0.25">
      <c r="A128" s="46" t="s">
        <v>15</v>
      </c>
      <c r="B128" s="47">
        <v>0.16134118992485935</v>
      </c>
      <c r="C128" s="48">
        <f>B128</f>
        <v>0.16134118992485935</v>
      </c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</row>
    <row r="129" spans="1:22" ht="15.75" customHeight="1" thickBot="1" x14ac:dyDescent="0.25">
      <c r="A129" s="55" t="s">
        <v>16</v>
      </c>
      <c r="B129" s="56">
        <v>0.26115288249411461</v>
      </c>
      <c r="C129" s="57">
        <f>B129</f>
        <v>0.26115288249411461</v>
      </c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</row>
    <row r="130" spans="1:22" ht="15.75" customHeight="1" x14ac:dyDescent="0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</row>
    <row r="131" spans="1:22" ht="15.75" customHeight="1" x14ac:dyDescent="0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</row>
    <row r="132" spans="1:22" ht="15.75" customHeight="1" x14ac:dyDescent="0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</row>
    <row r="133" spans="1:22" ht="15.75" customHeight="1" x14ac:dyDescent="0.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</row>
    <row r="134" spans="1:22" ht="15.75" customHeight="1" x14ac:dyDescent="0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</row>
    <row r="135" spans="1:22" ht="15.75" customHeight="1" x14ac:dyDescent="0.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</row>
    <row r="136" spans="1:22" ht="15.75" customHeight="1" x14ac:dyDescent="0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</row>
    <row r="137" spans="1:22" ht="15.75" customHeight="1" x14ac:dyDescent="0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</row>
    <row r="138" spans="1:22" ht="15.75" customHeight="1" x14ac:dyDescent="0.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</row>
    <row r="139" spans="1:22" ht="15.75" customHeight="1" x14ac:dyDescent="0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</row>
    <row r="140" spans="1:22" ht="15.75" customHeight="1" x14ac:dyDescent="0.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</row>
    <row r="141" spans="1:22" ht="15.75" customHeight="1" x14ac:dyDescent="0.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</row>
    <row r="142" spans="1:22" ht="15.75" customHeight="1" x14ac:dyDescent="0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</row>
    <row r="143" spans="1:22" ht="15.75" customHeight="1" x14ac:dyDescent="0.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</row>
    <row r="144" spans="1:22" ht="15.75" customHeight="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</row>
    <row r="145" spans="1:22" ht="15.75" customHeight="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</row>
    <row r="146" spans="1:22" ht="15.75" customHeight="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</row>
    <row r="147" spans="1:22" ht="15.75" customHeight="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</row>
    <row r="148" spans="1:22" ht="15.75" customHeight="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</row>
    <row r="149" spans="1:22" ht="15.75" customHeight="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</row>
    <row r="150" spans="1:22" ht="15.75" customHeight="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</row>
    <row r="151" spans="1:22" ht="15.75" customHeight="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</row>
    <row r="152" spans="1:22" ht="15.75" customHeight="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</row>
    <row r="153" spans="1:22" ht="15.75" customHeight="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</row>
    <row r="154" spans="1:22" ht="15.75" customHeight="1" x14ac:dyDescent="0.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</row>
    <row r="155" spans="1:22" ht="15.75" customHeight="1" x14ac:dyDescent="0.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</row>
    <row r="156" spans="1:22" ht="15.75" customHeight="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</row>
    <row r="157" spans="1:22" ht="15.75" customHeight="1" x14ac:dyDescent="0.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</row>
    <row r="158" spans="1:22" ht="15.75" customHeight="1" x14ac:dyDescent="0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</row>
    <row r="159" spans="1:22" ht="15.75" customHeight="1" x14ac:dyDescent="0.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</row>
    <row r="160" spans="1:22" ht="15.75" customHeight="1" x14ac:dyDescent="0.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</row>
    <row r="161" spans="1:22" ht="15.75" customHeight="1" x14ac:dyDescent="0.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</row>
    <row r="162" spans="1:22" ht="15.75" customHeight="1" x14ac:dyDescent="0.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</row>
    <row r="163" spans="1:22" ht="15.75" customHeight="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</row>
    <row r="164" spans="1:22" ht="15.75" customHeight="1" x14ac:dyDescent="0.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</row>
    <row r="165" spans="1:22" ht="15.75" customHeight="1" x14ac:dyDescent="0.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</row>
    <row r="166" spans="1:22" ht="15.75" customHeight="1" x14ac:dyDescent="0.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</row>
    <row r="167" spans="1:22" ht="15.75" customHeight="1" x14ac:dyDescent="0.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</row>
    <row r="168" spans="1:22" ht="15.75" customHeight="1" x14ac:dyDescent="0.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</row>
    <row r="169" spans="1:22" ht="15.75" customHeight="1" x14ac:dyDescent="0.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</row>
    <row r="170" spans="1:22" ht="15.75" customHeight="1" x14ac:dyDescent="0.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</row>
    <row r="171" spans="1:22" ht="15.75" customHeight="1" x14ac:dyDescent="0.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</row>
    <row r="172" spans="1:22" ht="15.75" customHeight="1" x14ac:dyDescent="0.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</row>
    <row r="173" spans="1:22" ht="15.75" customHeight="1" x14ac:dyDescent="0.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</row>
    <row r="174" spans="1:22" ht="15.75" customHeight="1" x14ac:dyDescent="0.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</row>
    <row r="175" spans="1:22" ht="15.75" customHeight="1" x14ac:dyDescent="0.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</row>
    <row r="176" spans="1:22" ht="15.75" customHeight="1" x14ac:dyDescent="0.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</row>
    <row r="177" spans="1:22" ht="15.75" customHeight="1" x14ac:dyDescent="0.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</row>
    <row r="178" spans="1:22" ht="15.75" customHeight="1" x14ac:dyDescent="0.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</row>
    <row r="179" spans="1:22" ht="15.75" customHeight="1" x14ac:dyDescent="0.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</row>
    <row r="180" spans="1:22" ht="15.75" customHeight="1" x14ac:dyDescent="0.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</row>
    <row r="181" spans="1:22" ht="15.75" customHeight="1" x14ac:dyDescent="0.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</row>
    <row r="182" spans="1:22" ht="15.75" customHeight="1" x14ac:dyDescent="0.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</row>
    <row r="183" spans="1:22" ht="15.75" customHeight="1" x14ac:dyDescent="0.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</row>
    <row r="184" spans="1:22" ht="15.75" customHeight="1" x14ac:dyDescent="0.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</row>
    <row r="185" spans="1:22" ht="15.75" customHeight="1" x14ac:dyDescent="0.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</row>
    <row r="186" spans="1:22" ht="15.75" customHeight="1" x14ac:dyDescent="0.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</row>
    <row r="187" spans="1:22" ht="15.75" customHeight="1" x14ac:dyDescent="0.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</row>
    <row r="188" spans="1:22" ht="15.75" customHeight="1" x14ac:dyDescent="0.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</row>
    <row r="189" spans="1:22" ht="15.75" customHeight="1" x14ac:dyDescent="0.2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</row>
    <row r="190" spans="1:22" ht="15.75" customHeight="1" x14ac:dyDescent="0.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</row>
    <row r="191" spans="1:22" ht="15.75" customHeight="1" x14ac:dyDescent="0.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</row>
    <row r="192" spans="1:22" ht="15.75" customHeight="1" x14ac:dyDescent="0.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</row>
    <row r="193" spans="1:22" ht="15.75" customHeight="1" x14ac:dyDescent="0.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</row>
    <row r="194" spans="1:22" ht="15.75" customHeight="1" x14ac:dyDescent="0.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</row>
    <row r="195" spans="1:22" ht="15.75" customHeight="1" x14ac:dyDescent="0.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</row>
    <row r="196" spans="1:22" ht="15.75" customHeight="1" x14ac:dyDescent="0.2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</row>
    <row r="197" spans="1:22" ht="15.75" customHeight="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</row>
    <row r="198" spans="1:22" ht="15.75" customHeight="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</row>
    <row r="199" spans="1:22" ht="15.75" customHeight="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</row>
    <row r="200" spans="1:22" ht="15.75" customHeight="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</row>
    <row r="201" spans="1:22" ht="15.75" customHeight="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</row>
    <row r="202" spans="1:22" ht="15.75" customHeight="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</row>
    <row r="203" spans="1:22" ht="15.75" customHeight="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</row>
    <row r="204" spans="1:22" ht="15.75" customHeight="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</row>
    <row r="205" spans="1:22" ht="15.75" customHeight="1" x14ac:dyDescent="0.2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</row>
    <row r="206" spans="1:22" ht="15.75" customHeight="1" x14ac:dyDescent="0.2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</row>
    <row r="207" spans="1:22" ht="15.75" customHeight="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</row>
    <row r="208" spans="1:22" ht="15.75" customHeight="1" x14ac:dyDescent="0.2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</row>
    <row r="209" spans="1:22" ht="15.75" customHeight="1" x14ac:dyDescent="0.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</row>
    <row r="210" spans="1:22" ht="15.75" customHeight="1" x14ac:dyDescent="0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</row>
    <row r="211" spans="1:22" ht="15.75" customHeight="1" x14ac:dyDescent="0.2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</row>
    <row r="212" spans="1:22" ht="15.75" customHeight="1" x14ac:dyDescent="0.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</row>
    <row r="213" spans="1:22" ht="15.75" customHeight="1" x14ac:dyDescent="0.2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</row>
    <row r="214" spans="1:22" ht="15.75" customHeight="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</row>
    <row r="215" spans="1:22" ht="15.75" customHeight="1" x14ac:dyDescent="0.2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</row>
    <row r="216" spans="1:22" ht="15.75" customHeight="1" x14ac:dyDescent="0.2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</row>
    <row r="217" spans="1:22" ht="15.75" customHeight="1" x14ac:dyDescent="0.2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</row>
    <row r="218" spans="1:22" ht="15.75" customHeight="1" x14ac:dyDescent="0.2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</row>
    <row r="219" spans="1:22" ht="15.75" customHeight="1" x14ac:dyDescent="0.2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</row>
    <row r="220" spans="1:22" ht="15.75" customHeight="1" x14ac:dyDescent="0.2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</row>
    <row r="221" spans="1:22" ht="15.75" customHeight="1" x14ac:dyDescent="0.2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</row>
    <row r="222" spans="1:22" ht="15.75" customHeight="1" x14ac:dyDescent="0.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</row>
    <row r="223" spans="1:22" ht="15.75" customHeight="1" x14ac:dyDescent="0.2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</row>
    <row r="224" spans="1:22" ht="15.75" customHeight="1" x14ac:dyDescent="0.2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</row>
    <row r="225" spans="1:22" ht="15.75" customHeight="1" x14ac:dyDescent="0.2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</row>
    <row r="226" spans="1:22" ht="15.75" customHeight="1" x14ac:dyDescent="0.2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</row>
    <row r="227" spans="1:22" ht="15.75" customHeight="1" x14ac:dyDescent="0.2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</row>
    <row r="228" spans="1:22" ht="15.75" customHeight="1" x14ac:dyDescent="0.2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</row>
    <row r="229" spans="1:22" ht="15.75" customHeight="1" x14ac:dyDescent="0.2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</row>
    <row r="230" spans="1:22" ht="15.75" customHeight="1" x14ac:dyDescent="0.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</row>
    <row r="231" spans="1:22" ht="15.75" customHeight="1" x14ac:dyDescent="0.2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</row>
    <row r="232" spans="1:22" ht="15.75" customHeight="1" x14ac:dyDescent="0.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</row>
    <row r="233" spans="1:22" ht="15.75" customHeight="1" x14ac:dyDescent="0.2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</row>
    <row r="234" spans="1:22" ht="15.75" customHeight="1" x14ac:dyDescent="0.2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</row>
    <row r="235" spans="1:22" ht="15.75" customHeight="1" x14ac:dyDescent="0.2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</row>
    <row r="236" spans="1:22" ht="15.75" customHeight="1" x14ac:dyDescent="0.2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</row>
    <row r="237" spans="1:22" ht="15.75" customHeight="1" x14ac:dyDescent="0.2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</row>
    <row r="238" spans="1:22" ht="15.75" customHeight="1" x14ac:dyDescent="0.2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</row>
    <row r="239" spans="1:22" ht="15.75" customHeight="1" x14ac:dyDescent="0.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</row>
    <row r="240" spans="1:22" ht="15.75" customHeight="1" x14ac:dyDescent="0.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</row>
    <row r="241" spans="1:22" ht="15.75" customHeight="1" x14ac:dyDescent="0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</row>
    <row r="242" spans="1:22" ht="15.75" customHeight="1" x14ac:dyDescent="0.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</row>
    <row r="243" spans="1:22" ht="15.75" customHeight="1" x14ac:dyDescent="0.2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</row>
    <row r="244" spans="1:22" ht="15.75" customHeight="1" x14ac:dyDescent="0.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</row>
    <row r="245" spans="1:22" ht="15.75" customHeight="1" x14ac:dyDescent="0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</row>
    <row r="246" spans="1:22" ht="15.75" customHeight="1" x14ac:dyDescent="0.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</row>
    <row r="247" spans="1:22" ht="15.75" customHeight="1" x14ac:dyDescent="0.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</row>
    <row r="248" spans="1:22" ht="15.75" customHeight="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</row>
    <row r="249" spans="1:22" ht="15.75" customHeight="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</row>
    <row r="250" spans="1:22" ht="15.75" customHeight="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</row>
    <row r="251" spans="1:22" ht="15.75" customHeight="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</row>
    <row r="252" spans="1:22" ht="15.75" customHeight="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</row>
    <row r="253" spans="1:22" ht="15.75" customHeight="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</row>
    <row r="254" spans="1:22" ht="15.75" customHeight="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</row>
    <row r="255" spans="1:22" ht="15.75" customHeight="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</row>
    <row r="256" spans="1:22" ht="15.75" customHeight="1" x14ac:dyDescent="0.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</row>
    <row r="257" spans="1:22" ht="15.75" customHeight="1" x14ac:dyDescent="0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</row>
    <row r="258" spans="1:22" ht="15.75" customHeight="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</row>
    <row r="259" spans="1:22" ht="15.75" customHeight="1" x14ac:dyDescent="0.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</row>
    <row r="260" spans="1:22" ht="15.75" customHeight="1" x14ac:dyDescent="0.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</row>
    <row r="261" spans="1:22" ht="15.75" customHeight="1" x14ac:dyDescent="0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</row>
    <row r="262" spans="1:22" ht="15.75" customHeight="1" x14ac:dyDescent="0.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</row>
    <row r="263" spans="1:22" ht="15.75" customHeight="1" x14ac:dyDescent="0.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</row>
    <row r="264" spans="1:22" ht="15.75" customHeight="1" x14ac:dyDescent="0.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</row>
    <row r="265" spans="1:22" ht="15.75" customHeight="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</row>
    <row r="266" spans="1:22" ht="15.75" customHeight="1" x14ac:dyDescent="0.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</row>
    <row r="267" spans="1:22" ht="15.75" customHeight="1" x14ac:dyDescent="0.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</row>
    <row r="268" spans="1:22" ht="15.75" customHeight="1" x14ac:dyDescent="0.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</row>
    <row r="269" spans="1:22" ht="15.75" customHeight="1" x14ac:dyDescent="0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</row>
    <row r="270" spans="1:22" ht="15.75" customHeight="1" x14ac:dyDescent="0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</row>
    <row r="271" spans="1:22" ht="15.75" customHeight="1" x14ac:dyDescent="0.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</row>
    <row r="272" spans="1:22" ht="15.75" customHeight="1" x14ac:dyDescent="0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</row>
    <row r="273" spans="1:22" ht="15.75" customHeight="1" x14ac:dyDescent="0.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</row>
    <row r="274" spans="1:22" ht="15.75" customHeight="1" x14ac:dyDescent="0.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</row>
    <row r="275" spans="1:22" ht="15.75" customHeight="1" x14ac:dyDescent="0.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</row>
    <row r="276" spans="1:22" ht="15.75" customHeight="1" x14ac:dyDescent="0.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</row>
    <row r="277" spans="1:22" ht="15.75" customHeight="1" x14ac:dyDescent="0.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</row>
    <row r="278" spans="1:22" ht="15.75" customHeight="1" x14ac:dyDescent="0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</row>
    <row r="279" spans="1:22" ht="15.75" customHeight="1" x14ac:dyDescent="0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</row>
    <row r="280" spans="1:22" ht="15.75" customHeight="1" x14ac:dyDescent="0.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</row>
    <row r="281" spans="1:22" ht="15.75" customHeight="1" x14ac:dyDescent="0.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</row>
    <row r="282" spans="1:22" ht="15.75" customHeight="1" x14ac:dyDescent="0.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</row>
    <row r="283" spans="1:22" ht="15.75" customHeight="1" x14ac:dyDescent="0.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</row>
    <row r="284" spans="1:22" ht="15.75" customHeight="1" x14ac:dyDescent="0.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</row>
    <row r="285" spans="1:22" ht="15.75" customHeight="1" x14ac:dyDescent="0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</row>
    <row r="286" spans="1:22" ht="15.75" customHeight="1" x14ac:dyDescent="0.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</row>
    <row r="287" spans="1:22" ht="15.75" customHeight="1" x14ac:dyDescent="0.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</row>
    <row r="288" spans="1:22" ht="15.75" customHeight="1" x14ac:dyDescent="0.2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</row>
    <row r="289" spans="1:22" ht="15.75" customHeight="1" x14ac:dyDescent="0.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</row>
    <row r="290" spans="1:22" ht="15.75" customHeight="1" x14ac:dyDescent="0.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</row>
    <row r="291" spans="1:22" ht="15.75" customHeight="1" x14ac:dyDescent="0.2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</row>
    <row r="292" spans="1:22" ht="15.75" customHeight="1" x14ac:dyDescent="0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</row>
    <row r="293" spans="1:22" ht="15.75" customHeight="1" x14ac:dyDescent="0.2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</row>
    <row r="294" spans="1:22" ht="15.75" customHeight="1" x14ac:dyDescent="0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</row>
    <row r="295" spans="1:22" ht="15.75" customHeight="1" x14ac:dyDescent="0.2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</row>
    <row r="296" spans="1:22" ht="15.75" customHeight="1" x14ac:dyDescent="0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</row>
    <row r="297" spans="1:22" ht="15.75" customHeight="1" x14ac:dyDescent="0.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</row>
    <row r="298" spans="1:22" ht="15.75" customHeight="1" x14ac:dyDescent="0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</row>
    <row r="299" spans="1:22" ht="15.75" customHeight="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</row>
    <row r="300" spans="1:22" ht="15.75" customHeight="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</row>
    <row r="301" spans="1:22" ht="15.75" customHeight="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</row>
    <row r="302" spans="1:22" ht="15.75" customHeight="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</row>
    <row r="303" spans="1:22" ht="15.75" customHeight="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</row>
    <row r="304" spans="1:22" ht="15.75" customHeight="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</row>
    <row r="305" spans="1:22" ht="15.75" customHeight="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</row>
    <row r="306" spans="1:22" ht="15.75" customHeight="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</row>
    <row r="307" spans="1:22" ht="15.75" customHeight="1" x14ac:dyDescent="0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</row>
    <row r="308" spans="1:22" ht="15.75" customHeight="1" x14ac:dyDescent="0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</row>
    <row r="309" spans="1:22" ht="15.75" customHeight="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</row>
    <row r="310" spans="1:22" ht="15.75" customHeight="1" x14ac:dyDescent="0.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</row>
    <row r="311" spans="1:22" ht="15.75" customHeight="1" x14ac:dyDescent="0.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</row>
    <row r="312" spans="1:22" ht="15.75" customHeight="1" x14ac:dyDescent="0.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</row>
    <row r="313" spans="1:22" ht="15.75" customHeight="1" x14ac:dyDescent="0.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</row>
    <row r="314" spans="1:22" ht="15.75" customHeight="1" x14ac:dyDescent="0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</row>
    <row r="315" spans="1:22" ht="15.75" customHeight="1" x14ac:dyDescent="0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</row>
    <row r="316" spans="1:22" ht="15.75" customHeight="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</row>
    <row r="317" spans="1:22" ht="15.75" customHeight="1" x14ac:dyDescent="0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</row>
    <row r="318" spans="1:22" ht="15.75" customHeight="1" x14ac:dyDescent="0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</row>
    <row r="319" spans="1:22" ht="15.75" customHeight="1" x14ac:dyDescent="0.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</row>
    <row r="320" spans="1:22" ht="15.75" customHeight="1" x14ac:dyDescent="0.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</row>
    <row r="321" spans="1:22" ht="15.75" customHeight="1" x14ac:dyDescent="0.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</row>
    <row r="322" spans="1:22" ht="15.75" customHeight="1" x14ac:dyDescent="0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</row>
    <row r="323" spans="1:22" ht="15.75" customHeight="1" x14ac:dyDescent="0.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</row>
    <row r="324" spans="1:22" ht="15.75" customHeight="1" x14ac:dyDescent="0.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</row>
    <row r="325" spans="1:22" ht="15.75" customHeight="1" x14ac:dyDescent="0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</row>
    <row r="326" spans="1:22" ht="15.75" customHeight="1" x14ac:dyDescent="0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</row>
    <row r="327" spans="1:22" ht="15.75" customHeight="1" x14ac:dyDescent="0.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</row>
    <row r="328" spans="1:22" ht="15.75" customHeight="1" x14ac:dyDescent="0.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</row>
    <row r="329" spans="1:22" ht="15.75" customHeight="1" x14ac:dyDescent="0.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</row>
    <row r="330" spans="1:22" ht="15.75" customHeight="1" x14ac:dyDescent="0.2"/>
    <row r="331" spans="1:22" ht="15.75" customHeight="1" x14ac:dyDescent="0.2"/>
    <row r="332" spans="1:22" ht="15.75" customHeight="1" x14ac:dyDescent="0.2"/>
    <row r="333" spans="1:22" ht="15.75" customHeight="1" x14ac:dyDescent="0.2"/>
    <row r="334" spans="1:22" ht="15.75" customHeight="1" x14ac:dyDescent="0.2"/>
    <row r="335" spans="1:22" ht="15.75" customHeight="1" x14ac:dyDescent="0.2"/>
    <row r="336" spans="1:22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6">
    <mergeCell ref="A115:T115"/>
    <mergeCell ref="A67:T67"/>
    <mergeCell ref="A77:T77"/>
    <mergeCell ref="A86:T86"/>
    <mergeCell ref="A96:T96"/>
    <mergeCell ref="A105:T105"/>
    <mergeCell ref="A29:T29"/>
    <mergeCell ref="H30:L30"/>
    <mergeCell ref="A39:T39"/>
    <mergeCell ref="A48:T48"/>
    <mergeCell ref="A58:T58"/>
    <mergeCell ref="A1:F1"/>
    <mergeCell ref="H1:M1"/>
    <mergeCell ref="O1:T1"/>
    <mergeCell ref="A10:T10"/>
    <mergeCell ref="A20:T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zoomScaleNormal="100" workbookViewId="0"/>
  </sheetViews>
  <sheetFormatPr defaultColWidth="12.5703125" defaultRowHeight="12.75" x14ac:dyDescent="0.2"/>
  <cols>
    <col min="1" max="1" width="22.42578125" customWidth="1"/>
    <col min="4" max="4" width="16.42578125" customWidth="1"/>
  </cols>
  <sheetData>
    <row r="1" spans="1:4" ht="15.75" customHeight="1" x14ac:dyDescent="0.2"/>
    <row r="2" spans="1:4" ht="15.75" customHeight="1" x14ac:dyDescent="0.2"/>
    <row r="3" spans="1:4" ht="15.75" customHeight="1" x14ac:dyDescent="0.2">
      <c r="A3" s="43" t="s">
        <v>37</v>
      </c>
      <c r="B3" s="43" t="s">
        <v>38</v>
      </c>
      <c r="C3" s="52"/>
      <c r="D3" s="43" t="s">
        <v>35</v>
      </c>
    </row>
    <row r="4" spans="1:4" ht="15.75" customHeight="1" x14ac:dyDescent="0.2">
      <c r="A4" s="33" t="s">
        <v>39</v>
      </c>
      <c r="B4" s="33" t="s">
        <v>12</v>
      </c>
      <c r="C4" s="52"/>
      <c r="D4" s="33" t="s">
        <v>2</v>
      </c>
    </row>
    <row r="5" spans="1:4" ht="15.75" customHeight="1" x14ac:dyDescent="0.2">
      <c r="A5" s="33" t="s">
        <v>40</v>
      </c>
      <c r="B5" s="33" t="s">
        <v>13</v>
      </c>
      <c r="C5" s="52"/>
      <c r="D5" s="33" t="s">
        <v>3</v>
      </c>
    </row>
    <row r="6" spans="1:4" ht="15.75" customHeight="1" x14ac:dyDescent="0.2">
      <c r="A6" s="33" t="s">
        <v>41</v>
      </c>
      <c r="B6" s="33" t="s">
        <v>14</v>
      </c>
      <c r="C6" s="52"/>
      <c r="D6" s="33" t="s">
        <v>4</v>
      </c>
    </row>
    <row r="7" spans="1:4" ht="15.75" customHeight="1" x14ac:dyDescent="0.2">
      <c r="A7" s="33" t="s">
        <v>42</v>
      </c>
      <c r="B7" s="33" t="s">
        <v>15</v>
      </c>
      <c r="C7" s="52"/>
      <c r="D7" s="33" t="s">
        <v>5</v>
      </c>
    </row>
    <row r="8" spans="1:4" ht="15.75" customHeight="1" x14ac:dyDescent="0.2">
      <c r="A8" s="33" t="s">
        <v>43</v>
      </c>
      <c r="B8" s="33" t="s">
        <v>16</v>
      </c>
      <c r="C8" s="52"/>
      <c r="D8" s="33" t="s">
        <v>6</v>
      </c>
    </row>
    <row r="9" spans="1:4" ht="15.75" customHeight="1" x14ac:dyDescent="0.2">
      <c r="A9" s="52"/>
      <c r="B9" s="52"/>
      <c r="C9" s="52"/>
      <c r="D9" s="52"/>
    </row>
    <row r="10" spans="1:4" ht="15.75" customHeight="1" x14ac:dyDescent="0.2">
      <c r="A10" s="52"/>
      <c r="B10" s="52"/>
      <c r="C10" s="52"/>
      <c r="D10" s="52"/>
    </row>
    <row r="11" spans="1:4" ht="15.75" customHeight="1" x14ac:dyDescent="0.2"/>
    <row r="12" spans="1:4" ht="15.75" customHeight="1" x14ac:dyDescent="0.2"/>
    <row r="13" spans="1:4" ht="15.75" customHeight="1" x14ac:dyDescent="0.2"/>
    <row r="14" spans="1:4" ht="15.75" customHeight="1" x14ac:dyDescent="0.2"/>
    <row r="15" spans="1:4" ht="15.75" customHeight="1" x14ac:dyDescent="0.2"/>
    <row r="16" spans="1:4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МАИ</vt:lpstr>
      <vt:lpstr>Концепции и критерии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Константин Воронецкий</cp:lastModifiedBy>
  <cp:revision>0</cp:revision>
  <dcterms:created xsi:type="dcterms:W3CDTF">2026-10-11T14:18:45Z</dcterms:created>
  <dcterms:modified xsi:type="dcterms:W3CDTF">2026-10-11T14:36:36Z</dcterms:modified>
  <dc:language>en-US</dc:language>
</cp:coreProperties>
</file>